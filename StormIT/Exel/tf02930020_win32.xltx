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303"/>
  <workbookPr filterPrivacy="1"/>
  <bookViews>
    <workbookView xWindow="0" yWindow="0" windowWidth="0" windowHeight="0"/>
  </bookViews>
  <sheets>
    <sheet name="Harmonogram" sheetId="1" r:id="rId1"/>
    <sheet name="Wprowadzanie danych" sheetId="2" r:id="rId2"/>
    <sheet name="Odnośnik nazwy" sheetId="3" state="hidden" r:id="rId3"/>
  </sheets>
  <definedNames>
    <definedName name="_xlnm.Print_Area">Harmonogram!$B$2:$I$23</definedName>
    <definedName name="Pole_Kto">tblDane[KTO]</definedName>
    <definedName name="Tydzień">Harmonogram!$G$3</definedName>
    <definedName name="Wyszukiwanie_Kto">OFFSET('Odnośnik nazwy'!$A$3,,,COUNT('Odnośnik nazwy'!$B:$B),1)</definedName>
    <definedName name="Wyświetlana_nazwa">Harmonogram!$H$3</definedName>
  </definedNames>
  <calcPr calcId="152511"/>
</workbook>
</file>

<file path=xl/calcChain.xml><?xml version="1.0" encoding="utf-8"?>
<calcChain xmlns="http://schemas.openxmlformats.org/spreadsheetml/2006/main">
  <c r="I8" i="1" l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7" i="1" a="1"/>
  <c r="I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7" i="1" a="1"/>
  <c r="H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7" i="1" a="1"/>
  <c r="G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7" i="1" a="1"/>
  <c r="F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7" i="1" a="1"/>
  <c r="E7" i="1" s="1"/>
  <c r="D8" i="1" a="1"/>
  <c r="D8" i="1" s="1"/>
  <c r="D9" i="1" a="1"/>
  <c r="D9" i="1" s="1"/>
  <c r="D10" i="1" a="1"/>
  <c r="D10" i="1" s="1"/>
  <c r="D11" i="1" a="1"/>
  <c r="D11" i="1" s="1"/>
  <c r="D12" i="1" a="1"/>
  <c r="D12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7" i="1" a="1"/>
  <c r="D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7" i="1" a="1"/>
  <c r="C7" i="1" s="1"/>
  <c r="A3" i="3" l="1" a="1"/>
  <c r="A3" i="3" s="1"/>
  <c r="A4" i="3" s="1" a="1"/>
  <c r="A4" i="3" s="1"/>
  <c r="B4" i="3" s="1"/>
  <c r="B3" i="3" l="1"/>
  <c r="A5" i="3" a="1"/>
  <c r="A5" i="3" s="1"/>
  <c r="F3" i="1"/>
  <c r="A6" i="3" l="1" a="1"/>
  <c r="A6" i="3" s="1"/>
  <c r="B6" i="3" s="1"/>
  <c r="B5" i="3"/>
  <c r="D4" i="1"/>
  <c r="E4" i="1"/>
  <c r="H4" i="1"/>
  <c r="C4" i="1"/>
  <c r="F4" i="1"/>
  <c r="G4" i="1"/>
  <c r="I4" i="1"/>
  <c r="A7" i="3" l="1" a="1"/>
  <c r="A7" i="3" s="1"/>
  <c r="B7" i="3" s="1"/>
  <c r="D5" i="1"/>
  <c r="I5" i="1"/>
  <c r="F5" i="1"/>
  <c r="C5" i="1"/>
  <c r="G5" i="1"/>
  <c r="E5" i="1"/>
  <c r="H5" i="1"/>
  <c r="A8" i="3" l="1" a="1"/>
  <c r="A8" i="3" s="1"/>
  <c r="B8" i="3" s="1"/>
  <c r="A9" i="3" l="1" a="1"/>
  <c r="A9" i="3" s="1"/>
  <c r="A10" i="3" s="1" a="1"/>
  <c r="A10" i="3" s="1"/>
  <c r="B9" i="3" l="1"/>
  <c r="B10" i="3"/>
  <c r="A11" i="3" a="1"/>
  <c r="A11" i="3" s="1"/>
  <c r="B11" i="3" l="1"/>
  <c r="A12" i="3" a="1"/>
  <c r="A12" i="3" s="1"/>
  <c r="B12" i="3" s="1"/>
  <c r="A13" i="3" l="1" a="1"/>
  <c r="A13" i="3" s="1"/>
  <c r="B13" i="3" l="1"/>
  <c r="A14" i="3" a="1"/>
  <c r="A14" i="3" s="1"/>
  <c r="B14" i="3" s="1"/>
  <c r="A15" i="3" l="1" a="1"/>
  <c r="A15" i="3" s="1"/>
  <c r="B15" i="3" s="1"/>
  <c r="A16" i="3" l="1" a="1"/>
  <c r="A16" i="3" s="1"/>
  <c r="B16" i="3" s="1"/>
  <c r="A17" i="3" l="1" a="1"/>
  <c r="A17" i="3" s="1"/>
  <c r="A18" i="3" s="1" a="1"/>
  <c r="A18" i="3" s="1"/>
  <c r="B18" i="3" l="1"/>
  <c r="A19" i="3" a="1"/>
  <c r="A19" i="3" s="1"/>
  <c r="B19" i="3" s="1"/>
  <c r="B17" i="3"/>
  <c r="A20" i="3" l="1" a="1"/>
  <c r="A20" i="3" s="1"/>
  <c r="B20" i="3" s="1"/>
  <c r="A21" i="3" l="1" a="1"/>
  <c r="A21" i="3" s="1"/>
  <c r="B21" i="3" s="1"/>
  <c r="A22" i="3" l="1" a="1"/>
  <c r="A22" i="3" s="1"/>
  <c r="A23" i="3" s="1" a="1"/>
  <c r="A23" i="3" s="1"/>
  <c r="B23" i="3" s="1"/>
  <c r="B22" i="3" l="1"/>
  <c r="A24" i="3" a="1"/>
  <c r="A24" i="3" s="1"/>
  <c r="B24" i="3" s="1"/>
  <c r="A25" i="3" l="1" a="1"/>
  <c r="A25" i="3" s="1"/>
  <c r="B25" i="3" l="1"/>
  <c r="A26" i="3" a="1"/>
  <c r="A26" i="3" s="1"/>
  <c r="B26" i="3" s="1"/>
  <c r="A27" i="3" l="1" a="1"/>
  <c r="A27" i="3" s="1"/>
  <c r="B27" i="3" s="1"/>
  <c r="A28" i="3" l="1" a="1"/>
  <c r="A28" i="3" s="1"/>
  <c r="B28" i="3" l="1"/>
  <c r="A29" i="3" a="1"/>
  <c r="A29" i="3" s="1"/>
  <c r="B29" i="3" s="1"/>
  <c r="A30" i="3" l="1" a="1"/>
  <c r="A30" i="3" s="1"/>
  <c r="B30" i="3" s="1"/>
  <c r="A31" i="3" l="1" a="1"/>
  <c r="A31" i="3" s="1"/>
  <c r="B31" i="3" l="1"/>
  <c r="A32" i="3" a="1"/>
  <c r="A32" i="3" s="1"/>
  <c r="B32" i="3" s="1"/>
  <c r="A33" i="3" l="1" a="1"/>
  <c r="A33" i="3" s="1"/>
  <c r="B33" i="3" s="1"/>
  <c r="A34" i="3" l="1" a="1"/>
  <c r="A34" i="3" s="1"/>
  <c r="B34" i="3" l="1"/>
  <c r="A35" i="3" a="1"/>
  <c r="A35" i="3" s="1"/>
  <c r="B35" i="3" s="1"/>
  <c r="A36" i="3" l="1" a="1"/>
  <c r="A36" i="3" s="1"/>
  <c r="B36" i="3" s="1"/>
  <c r="A37" i="3" l="1" a="1"/>
  <c r="A37" i="3" s="1"/>
  <c r="B37" i="3" l="1"/>
  <c r="A38" i="3" a="1"/>
  <c r="A38" i="3" s="1"/>
  <c r="B38" i="3" s="1"/>
  <c r="A39" i="3" l="1" a="1"/>
  <c r="A39" i="3" s="1"/>
  <c r="B39" i="3" s="1"/>
  <c r="A40" i="3" l="1" a="1"/>
  <c r="A40" i="3" s="1"/>
  <c r="B40" i="3" l="1"/>
  <c r="A41" i="3" a="1"/>
  <c r="A41" i="3" s="1"/>
  <c r="B41" i="3" s="1"/>
  <c r="A42" i="3" l="1" a="1"/>
  <c r="A42" i="3" s="1"/>
  <c r="B42" i="3" s="1"/>
  <c r="A43" i="3" l="1" a="1"/>
  <c r="A43" i="3" s="1"/>
  <c r="B43" i="3" l="1"/>
  <c r="A44" i="3" a="1"/>
  <c r="A44" i="3" s="1"/>
  <c r="B44" i="3" s="1"/>
  <c r="A45" i="3" l="1" a="1"/>
  <c r="A45" i="3" s="1"/>
  <c r="B45" i="3" s="1"/>
  <c r="A46" i="3" l="1" a="1"/>
  <c r="A46" i="3" s="1"/>
  <c r="B46" i="3" l="1"/>
  <c r="A47" i="3" a="1"/>
  <c r="A47" i="3" s="1"/>
  <c r="B47" i="3" s="1"/>
  <c r="A48" i="3" l="1" a="1"/>
  <c r="A48" i="3" s="1"/>
  <c r="B48" i="3" s="1"/>
  <c r="A49" i="3" l="1" a="1"/>
  <c r="A49" i="3" s="1"/>
  <c r="B49" i="3" l="1"/>
  <c r="A50" i="3" a="1"/>
  <c r="A50" i="3" s="1"/>
  <c r="B50" i="3" l="1"/>
  <c r="A51" i="3" a="1"/>
  <c r="A51" i="3" s="1"/>
  <c r="B51" i="3" s="1"/>
  <c r="A52" i="3" l="1" a="1"/>
  <c r="A52" i="3" s="1"/>
  <c r="A53" i="3" l="1" a="1"/>
  <c r="A53" i="3" s="1"/>
  <c r="B53" i="3" s="1"/>
  <c r="B52" i="3"/>
  <c r="A54" i="3" l="1" a="1"/>
  <c r="A54" i="3" s="1"/>
  <c r="B54" i="3" l="1"/>
  <c r="A55" i="3" a="1"/>
  <c r="A55" i="3" s="1"/>
  <c r="B55" i="3" s="1"/>
  <c r="A56" i="3" l="1" a="1"/>
  <c r="A56" i="3" s="1"/>
  <c r="B56" i="3" s="1"/>
  <c r="A57" i="3" l="1" a="1"/>
  <c r="A57" i="3" s="1"/>
  <c r="A58" i="3" l="1" a="1"/>
  <c r="A58" i="3" s="1"/>
  <c r="B58" i="3" s="1"/>
  <c r="B57" i="3"/>
  <c r="A59" i="3" l="1" a="1"/>
  <c r="A59" i="3" s="1"/>
  <c r="B59" i="3" l="1"/>
  <c r="A60" i="3" a="1"/>
  <c r="A60" i="3" s="1"/>
  <c r="B60" i="3" s="1"/>
  <c r="A61" i="3" l="1" a="1"/>
  <c r="A61" i="3" s="1"/>
  <c r="B61" i="3" s="1"/>
  <c r="A62" i="3" l="1" a="1"/>
  <c r="A62" i="3" s="1"/>
  <c r="B62" i="3" l="1"/>
  <c r="A63" i="3" a="1"/>
  <c r="A63" i="3" s="1"/>
  <c r="B63" i="3" s="1"/>
  <c r="A64" i="3" l="1" a="1"/>
  <c r="A64" i="3" s="1"/>
  <c r="B64" i="3" s="1"/>
  <c r="A65" i="3" l="1" a="1"/>
  <c r="A65" i="3" s="1"/>
  <c r="B65" i="3" l="1"/>
  <c r="A66" i="3" a="1"/>
  <c r="A66" i="3" s="1"/>
  <c r="B66" i="3" s="1"/>
  <c r="A67" i="3" l="1" a="1"/>
  <c r="A67" i="3" s="1"/>
  <c r="B67" i="3" s="1"/>
  <c r="A68" i="3" l="1" a="1"/>
  <c r="A68" i="3" s="1"/>
  <c r="B68" i="3" l="1"/>
  <c r="A69" i="3" a="1"/>
  <c r="A69" i="3" s="1"/>
  <c r="B69" i="3" s="1"/>
  <c r="A70" i="3" l="1" a="1"/>
  <c r="A70" i="3" s="1"/>
  <c r="B70" i="3" s="1"/>
  <c r="A71" i="3" l="1" a="1"/>
  <c r="A71" i="3" s="1"/>
  <c r="B71" i="3" l="1"/>
  <c r="A72" i="3" a="1"/>
  <c r="A72" i="3" s="1"/>
  <c r="B72" i="3" s="1"/>
  <c r="A73" i="3" l="1" a="1"/>
  <c r="A73" i="3" s="1"/>
  <c r="B73" i="3" l="1"/>
  <c r="A74" i="3" a="1"/>
  <c r="A74" i="3" s="1"/>
  <c r="B74" i="3" l="1"/>
  <c r="A75" i="3" a="1"/>
  <c r="A75" i="3" s="1"/>
  <c r="B75" i="3" s="1"/>
  <c r="A76" i="3" l="1" a="1"/>
  <c r="A76" i="3" s="1"/>
  <c r="B76" i="3" l="1"/>
  <c r="A77" i="3" a="1"/>
  <c r="A77" i="3" s="1"/>
  <c r="B77" i="3" s="1"/>
  <c r="A78" i="3" l="1" a="1"/>
  <c r="A78" i="3" s="1"/>
  <c r="B78" i="3" s="1"/>
  <c r="A79" i="3" l="1" a="1"/>
  <c r="A79" i="3" s="1"/>
  <c r="B79" i="3" l="1"/>
  <c r="A80" i="3" a="1"/>
  <c r="A80" i="3" s="1"/>
  <c r="B80" i="3" s="1"/>
  <c r="A81" i="3" l="1" a="1"/>
  <c r="A81" i="3" s="1"/>
  <c r="B81" i="3" s="1"/>
  <c r="A82" i="3" l="1" a="1"/>
  <c r="A82" i="3" s="1"/>
  <c r="B82" i="3" l="1"/>
  <c r="A83" i="3" a="1"/>
  <c r="A83" i="3" s="1"/>
  <c r="B83" i="3" s="1"/>
  <c r="A84" i="3" l="1" a="1"/>
  <c r="A84" i="3" s="1"/>
  <c r="B84" i="3" s="1"/>
  <c r="A85" i="3" l="1" a="1"/>
  <c r="A85" i="3" s="1"/>
  <c r="B85" i="3" s="1"/>
  <c r="A86" i="3" l="1" a="1"/>
  <c r="A86" i="3" s="1"/>
  <c r="B86" i="3" s="1"/>
  <c r="A87" i="3" l="1" a="1"/>
  <c r="A87" i="3" s="1"/>
  <c r="B87" i="3" s="1"/>
  <c r="A88" i="3" l="1" a="1"/>
  <c r="A88" i="3" s="1"/>
  <c r="B88" i="3" s="1"/>
  <c r="A89" i="3" l="1" a="1"/>
  <c r="A89" i="3" s="1"/>
  <c r="B89" i="3" s="1"/>
  <c r="A90" i="3" l="1" a="1"/>
  <c r="A90" i="3" s="1"/>
  <c r="B90" i="3" s="1"/>
  <c r="A91" i="3" l="1" a="1"/>
  <c r="A91" i="3" s="1"/>
  <c r="B91" i="3" s="1"/>
  <c r="A92" i="3" l="1" a="1"/>
  <c r="A92" i="3" s="1"/>
  <c r="B92" i="3" s="1"/>
  <c r="A93" i="3" l="1" a="1"/>
  <c r="A93" i="3" s="1"/>
  <c r="B93" i="3" s="1"/>
  <c r="A94" i="3" l="1" a="1"/>
  <c r="A94" i="3" s="1"/>
  <c r="B94" i="3" s="1"/>
  <c r="A95" i="3" l="1" a="1"/>
  <c r="A95" i="3" s="1"/>
  <c r="B95" i="3" s="1"/>
  <c r="A96" i="3" l="1" a="1"/>
  <c r="A96" i="3" s="1"/>
  <c r="B96" i="3" s="1"/>
  <c r="A97" i="3" l="1" a="1"/>
  <c r="A97" i="3" s="1"/>
  <c r="B97" i="3" s="1"/>
  <c r="A98" i="3" l="1" a="1"/>
  <c r="A98" i="3" s="1"/>
  <c r="B98" i="3" s="1"/>
  <c r="A99" i="3" l="1" a="1"/>
  <c r="A99" i="3" s="1"/>
  <c r="B99" i="3" s="1"/>
  <c r="A100" i="3" l="1" a="1"/>
  <c r="A100" i="3" s="1"/>
  <c r="B100" i="3" s="1"/>
  <c r="A101" i="3" l="1" a="1"/>
  <c r="A101" i="3" s="1"/>
  <c r="B101" i="3" s="1"/>
  <c r="A102" i="3" l="1" a="1"/>
  <c r="A102" i="3" s="1"/>
  <c r="B102" i="3" s="1"/>
  <c r="A103" i="3" l="1" a="1"/>
  <c r="A103" i="3" s="1"/>
  <c r="B103" i="3" s="1"/>
  <c r="A104" i="3" l="1" a="1"/>
  <c r="A104" i="3" s="1"/>
  <c r="B104" i="3" s="1"/>
  <c r="A105" i="3" l="1" a="1"/>
  <c r="A105" i="3" s="1"/>
  <c r="B105" i="3" s="1"/>
  <c r="A106" i="3" l="1" a="1"/>
  <c r="A106" i="3" s="1"/>
  <c r="B106" i="3" s="1"/>
  <c r="A107" i="3" l="1" a="1"/>
  <c r="A107" i="3" s="1"/>
  <c r="B107" i="3" s="1"/>
  <c r="A108" i="3" l="1" a="1"/>
  <c r="A108" i="3" s="1"/>
  <c r="B108" i="3" s="1"/>
  <c r="A109" i="3" l="1" a="1"/>
  <c r="A109" i="3" s="1"/>
  <c r="B109" i="3" s="1"/>
  <c r="A110" i="3" l="1" a="1"/>
  <c r="A110" i="3" s="1"/>
  <c r="B110" i="3" s="1"/>
  <c r="A111" i="3" l="1" a="1"/>
  <c r="A111" i="3" s="1"/>
  <c r="B111" i="3" s="1"/>
  <c r="A112" i="3" l="1" a="1"/>
  <c r="A112" i="3" s="1"/>
  <c r="B112" i="3" s="1"/>
  <c r="A113" i="3" l="1" a="1"/>
  <c r="A113" i="3" s="1"/>
  <c r="B113" i="3" s="1"/>
  <c r="A114" i="3" l="1" a="1"/>
  <c r="A114" i="3" s="1"/>
  <c r="B114" i="3" s="1"/>
  <c r="A115" i="3" l="1" a="1"/>
  <c r="A115" i="3" s="1"/>
  <c r="B115" i="3" s="1"/>
  <c r="A116" i="3" l="1" a="1"/>
  <c r="A116" i="3" s="1"/>
  <c r="B116" i="3" s="1"/>
  <c r="A117" i="3" l="1" a="1"/>
  <c r="A117" i="3" s="1"/>
  <c r="B117" i="3" s="1"/>
  <c r="A118" i="3" l="1" a="1"/>
  <c r="A118" i="3" s="1"/>
  <c r="B118" i="3" s="1"/>
  <c r="A119" i="3" l="1" a="1"/>
  <c r="A119" i="3" s="1"/>
  <c r="B119" i="3" s="1"/>
  <c r="A120" i="3" l="1" a="1"/>
  <c r="A120" i="3" s="1"/>
  <c r="B120" i="3" s="1"/>
  <c r="A121" i="3" l="1" a="1"/>
  <c r="A121" i="3" s="1"/>
  <c r="B121" i="3" s="1"/>
  <c r="A122" i="3" l="1" a="1"/>
  <c r="A122" i="3" s="1"/>
  <c r="B122" i="3" s="1"/>
  <c r="A123" i="3" l="1" a="1"/>
  <c r="A123" i="3" s="1"/>
  <c r="B123" i="3" s="1"/>
  <c r="A124" i="3" l="1" a="1"/>
  <c r="A124" i="3" s="1"/>
  <c r="B124" i="3" s="1"/>
  <c r="A125" i="3" l="1" a="1"/>
  <c r="A125" i="3" s="1"/>
  <c r="B125" i="3" s="1"/>
  <c r="A126" i="3" l="1" a="1"/>
  <c r="A126" i="3" s="1"/>
  <c r="B126" i="3" s="1"/>
  <c r="A127" i="3" l="1" a="1"/>
  <c r="A127" i="3" s="1"/>
  <c r="B127" i="3" s="1"/>
  <c r="A128" i="3" l="1" a="1"/>
  <c r="A128" i="3" s="1"/>
  <c r="B128" i="3" s="1"/>
  <c r="A129" i="3" l="1" a="1"/>
  <c r="A129" i="3" s="1"/>
  <c r="B129" i="3" s="1"/>
  <c r="A130" i="3" l="1" a="1"/>
  <c r="A130" i="3" s="1"/>
  <c r="B130" i="3" s="1"/>
  <c r="A131" i="3" l="1" a="1"/>
  <c r="A131" i="3" s="1"/>
  <c r="B131" i="3" s="1"/>
  <c r="A132" i="3" l="1" a="1"/>
  <c r="A132" i="3" s="1"/>
  <c r="B132" i="3" s="1"/>
</calcChain>
</file>

<file path=xl/sharedStrings.xml><?xml version="1.0" encoding="utf-8"?>
<sst xmlns="http://schemas.openxmlformats.org/spreadsheetml/2006/main" count="41" uniqueCount="31">
  <si>
    <t>PLAN DNIA</t>
  </si>
  <si>
    <t>NIEDZIELA</t>
  </si>
  <si>
    <t>PONIEDZIAŁEK</t>
  </si>
  <si>
    <t>WTOREK</t>
  </si>
  <si>
    <t>ŚRODA</t>
  </si>
  <si>
    <t>CZWARTEK</t>
  </si>
  <si>
    <t>PIĄTEK</t>
  </si>
  <si>
    <t>SOBOTA</t>
  </si>
  <si>
    <t xml:space="preserve">Dla tygodnia z datą </t>
  </si>
  <si>
    <t>ZADANIE</t>
  </si>
  <si>
    <t>KTO</t>
  </si>
  <si>
    <t>WPROWADZANIE DANYCH</t>
  </si>
  <si>
    <t>DATA I GODZINA</t>
  </si>
  <si>
    <t xml:space="preserve">Pokaż harmonogram dla: </t>
  </si>
  <si>
    <t>GODZINA</t>
  </si>
  <si>
    <t>Wziąć lekarstwo</t>
  </si>
  <si>
    <t>Wizyta u lekarza</t>
  </si>
  <si>
    <t>Kolacja z Anną</t>
  </si>
  <si>
    <t>Film z rodziną</t>
  </si>
  <si>
    <t>Parada w centrum</t>
  </si>
  <si>
    <t>Wyjazd do domku letniskowego</t>
  </si>
  <si>
    <t>Powrót do domu</t>
  </si>
  <si>
    <t>Grill rodzinny</t>
  </si>
  <si>
    <t>Piknik osiedlowy</t>
  </si>
  <si>
    <t>Tomasz</t>
  </si>
  <si>
    <t>Anna</t>
  </si>
  <si>
    <t>Lekcje gry na fortepianie</t>
  </si>
  <si>
    <t>Pokaz fajerwerków</t>
  </si>
  <si>
    <t>UNIKATOWA NAZWA</t>
  </si>
  <si>
    <t>NUMER WIERSZA</t>
  </si>
  <si>
    <t>Za pomocą tego arkusza jest wypełniana lista rozwijana nazw w komórce H3 arkusza Harmonogram. Wprowadzenie jakichkolwiek zmian w tym arkuszu może spowodować wystąpienie błędu.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</si>
</sst>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9"/>
      <color theme="3"/>
      <name val="Cambria"/>
      <family val="2"/>
      <scheme val="minor"/>
    </font>
    <font>
      <sz val="10"/>
      <color theme="1"/>
      <name val="Cambria"/>
      <family val="2"/>
      <scheme val="minor"/>
    </font>
    <font>
      <sz val="10"/>
      <color theme="0"/>
      <name val="Cambria"/>
      <family val="2"/>
      <scheme val="minor"/>
    </font>
    <font>
      <sz val="9"/>
      <color theme="1"/>
      <name val="Cambria"/>
      <family val="2"/>
      <scheme val="minor"/>
    </font>
    <font>
      <sz val="8"/>
      <color theme="1"/>
      <name val="Cambria"/>
      <family val="2"/>
      <scheme val="minor"/>
    </font>
    <font>
      <sz val="8"/>
      <color theme="0"/>
      <name val="Cambria"/>
      <family val="2"/>
      <scheme val="minor"/>
    </font>
    <font>
      <sz val="10"/>
      <color theme="1"/>
      <name val="Franklin Gothic Medium"/>
      <family val="2"/>
      <scheme val="major"/>
    </font>
    <font>
      <b/>
      <sz val="8"/>
      <color theme="3" tint="9.9978637043366805E-2"/>
      <name val="Cambria"/>
      <family val="1"/>
      <scheme val="minor"/>
    </font>
    <font>
      <sz val="14"/>
      <color theme="4"/>
      <name val="Franklin Gothic Medium"/>
      <family val="2"/>
      <scheme val="major"/>
    </font>
    <font>
      <sz val="14"/>
      <color theme="5"/>
      <name val="Franklin Gothic Medium"/>
      <family val="2"/>
      <scheme val="major"/>
    </font>
    <font>
      <sz val="14"/>
      <color theme="7"/>
      <name val="Franklin Gothic Medium"/>
      <family val="2"/>
      <scheme val="major"/>
    </font>
    <font>
      <sz val="14"/>
      <color theme="6"/>
      <name val="Franklin Gothic Medium"/>
      <family val="2"/>
      <scheme val="major"/>
    </font>
    <font>
      <sz val="14"/>
      <color theme="9"/>
      <name val="Franklin Gothic Medium"/>
      <family val="2"/>
      <scheme val="major"/>
    </font>
    <font>
      <sz val="14"/>
      <color theme="8"/>
      <name val="Franklin Gothic Medium"/>
      <family val="2"/>
      <scheme val="major"/>
    </font>
    <font>
      <sz val="14"/>
      <color theme="5" tint="-0.499984740745262"/>
      <name val="Franklin Gothic Medium"/>
      <family val="2"/>
      <scheme val="major"/>
    </font>
    <font>
      <b/>
      <sz val="9"/>
      <color theme="3" tint="9.9978637043366805E-2"/>
      <name val="Cambria"/>
      <family val="1"/>
      <scheme val="minor"/>
    </font>
    <font>
      <sz val="9"/>
      <color theme="3" tint="9.9978637043366805E-2"/>
      <name val="Cambria"/>
      <family val="1"/>
      <scheme val="minor"/>
    </font>
    <font>
      <sz val="28"/>
      <color theme="3" tint="9.9917600024414813E-2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sz val="13"/>
      <color theme="3" tint="9.9948118533890809E-2"/>
      <name val="Franklin Gothic Medium"/>
      <family val="2"/>
      <scheme val="major"/>
    </font>
    <font>
      <sz val="13"/>
      <color theme="3" tint="9.9917600024414813E-2"/>
      <name val="Franklin Gothic Medium"/>
      <family val="2"/>
      <scheme val="major"/>
    </font>
    <font>
      <b/>
      <sz val="8"/>
      <color theme="3" tint="9.9917600024414813E-2"/>
      <name val="Cambria"/>
      <family val="1"/>
      <scheme val="minor"/>
    </font>
    <font>
      <b/>
      <sz val="9"/>
      <color theme="3" tint="9.9978637043366805E-2"/>
      <name val="Cambria"/>
      <family val="1"/>
      <scheme val="minor"/>
    </font>
    <font>
      <sz val="9"/>
      <color theme="3" tint="9.9978637043366805E-2"/>
      <name val="Cambria"/>
      <family val="1"/>
      <scheme val="minor"/>
    </font>
    <font>
      <sz val="9"/>
      <color theme="4"/>
      <name val="Cambria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6795556505021"/>
      </left>
      <right/>
      <top/>
      <bottom/>
      <diagonal/>
    </border>
  </borders>
  <cellStyleXfs count="6">
    <xf numFmtId="0" fontId="0" fillId="0" borderId="0"/>
    <xf numFmtId="0" fontId="17" fillId="0" borderId="0" applyNumberFormat="0" applyFill="0" applyBorder="0" applyAlignment="0" applyProtection="0"/>
    <xf numFmtId="0" fontId="20" fillId="0" borderId="1" applyNumberFormat="0" applyFill="0" applyProtection="0">
      <alignment vertical="top"/>
    </xf>
    <xf numFmtId="0" fontId="19" fillId="0" borderId="0" applyNumberFormat="0" applyFill="0" applyAlignment="0" applyProtection="0"/>
    <xf numFmtId="0" fontId="18" fillId="0" borderId="0" applyNumberFormat="0" applyFill="0" applyAlignment="0" applyProtection="0"/>
    <xf numFmtId="0" fontId="21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vertical="center"/>
    </xf>
    <xf numFmtId="0" fontId="8" fillId="0" borderId="0" xfId="0" applyFont="1" applyFill="1" applyBorder="1" applyAlignment="1">
      <alignment horizontal="left" indent="1"/>
    </xf>
    <xf numFmtId="0" fontId="9" fillId="0" borderId="0" xfId="0" applyFont="1" applyFill="1" applyBorder="1" applyAlignment="1">
      <alignment horizontal="left" indent="1"/>
    </xf>
    <xf numFmtId="0" fontId="16" fillId="0" borderId="0" xfId="0" applyFont="1" applyFill="1" applyBorder="1" applyAlignment="1">
      <alignment horizontal="left" vertical="center" wrapText="1" indent="1"/>
    </xf>
    <xf numFmtId="0" fontId="17" fillId="0" borderId="0" xfId="1"/>
    <xf numFmtId="0" fontId="3" fillId="0" borderId="0" xfId="0" applyFont="1" applyBorder="1" applyAlignment="1">
      <alignment horizontal="left" vertical="center" wrapText="1" indent="1"/>
    </xf>
    <xf numFmtId="0" fontId="21" fillId="0" borderId="1" xfId="5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14" fontId="20" fillId="0" borderId="1" xfId="2" applyNumberFormat="1" applyAlignment="1">
      <alignment horizontal="left" vertical="top" indent="1"/>
    </xf>
    <xf numFmtId="0" fontId="20" fillId="0" borderId="1" xfId="2" applyAlignment="1">
      <alignment horizontal="left" vertical="top" indent="1"/>
    </xf>
    <xf numFmtId="0" fontId="6" fillId="0" borderId="0" xfId="0" applyFont="1" applyBorder="1" applyAlignment="1">
      <alignment horizontal="left" indent="1"/>
    </xf>
    <xf numFmtId="0" fontId="23" fillId="0" borderId="0" xfId="0" applyFont="1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14" fontId="7" fillId="0" borderId="0" xfId="0" applyNumberFormat="1" applyFont="1" applyAlignment="1">
      <alignment horizontal="left" indent="1"/>
    </xf>
    <xf numFmtId="0" fontId="8" fillId="0" borderId="0" xfId="0" applyFont="1" applyBorder="1" applyAlignment="1">
      <alignment horizontal="left" indent="1"/>
    </xf>
    <xf numFmtId="0" fontId="9" fillId="0" borderId="0" xfId="0" applyFont="1" applyBorder="1" applyAlignment="1">
      <alignment horizontal="left" indent="1"/>
    </xf>
    <xf numFmtId="0" fontId="10" fillId="0" borderId="0" xfId="0" applyFont="1" applyBorder="1" applyAlignment="1">
      <alignment horizontal="left" indent="1"/>
    </xf>
    <xf numFmtId="0" fontId="11" fillId="0" borderId="0" xfId="0" applyFont="1" applyBorder="1" applyAlignment="1">
      <alignment horizontal="left" indent="1"/>
    </xf>
    <xf numFmtId="0" fontId="12" fillId="0" borderId="0" xfId="0" applyFont="1" applyBorder="1" applyAlignment="1">
      <alignment horizontal="left" indent="1"/>
    </xf>
    <xf numFmtId="0" fontId="13" fillId="0" borderId="0" xfId="0" applyFont="1" applyBorder="1" applyAlignment="1">
      <alignment horizontal="left" indent="1"/>
    </xf>
    <xf numFmtId="0" fontId="14" fillId="0" borderId="0" xfId="0" applyFont="1" applyBorder="1" applyAlignment="1">
      <alignment horizontal="lef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9" fillId="0" borderId="0" xfId="0" applyFont="1" applyAlignment="1">
      <alignment horizontal="left" indent="1"/>
    </xf>
    <xf numFmtId="0" fontId="11" fillId="0" borderId="0" xfId="0" applyFont="1" applyAlignment="1">
      <alignment horizontal="center"/>
    </xf>
    <xf numFmtId="0" fontId="24" fillId="0" borderId="0" xfId="0" applyFont="1" applyAlignment="1">
      <alignment vertical="center" wrapText="1"/>
    </xf>
    <xf numFmtId="20" fontId="15" fillId="0" borderId="0" xfId="0" applyNumberFormat="1" applyFont="1" applyBorder="1" applyAlignment="1">
      <alignment horizontal="left" vertical="center" indent="1"/>
    </xf>
    <xf numFmtId="22" fontId="15" fillId="0" borderId="0" xfId="0" applyNumberFormat="1" applyFont="1" applyFill="1" applyBorder="1" applyAlignment="1">
      <alignment horizontal="left" vertical="center" indent="1"/>
    </xf>
    <xf numFmtId="22" fontId="22" fillId="0" borderId="0" xfId="0" applyNumberFormat="1" applyFont="1" applyAlignment="1">
      <alignment horizontal="left" vertical="center" indent="1"/>
    </xf>
    <xf numFmtId="0" fontId="17" fillId="0" borderId="0" xfId="1" applyAlignment="1">
      <alignment horizontal="left"/>
    </xf>
    <xf numFmtId="0" fontId="24" fillId="0" borderId="0" xfId="0" applyFont="1" applyAlignment="1">
      <alignment horizontal="left" vertical="center" wrapText="1" indent="1"/>
    </xf>
  </cellXfs>
  <cellStyles count="6"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ormalny" xfId="0" builtinId="0" customBuiltin="1"/>
    <cellStyle name="Tytuł" xfId="1" builtinId="15" customBuiltin="1"/>
  </cellStyles>
  <dxfs count="27">
    <dxf>
      <font>
        <strike/>
        <outline/>
        <shadow/>
        <u val="none"/>
        <vertAlign val="baseline"/>
        <sz val="9"/>
        <color theme="3" tint="9.9978637043366805E-2"/>
        <name val="Cambria"/>
        <scheme val="minor"/>
      </font>
      <alignment horizontal="left" vertical="center" textRotation="0" indent="1" justifyLastLine="0" shrinkToFit="0" readingOrder="0"/>
    </dxf>
    <dxf>
      <font>
        <strike/>
        <outline/>
        <shadow/>
        <u val="none"/>
        <vertAlign val="baseline"/>
        <sz val="9"/>
        <color theme="3" tint="9.9978637043366805E-2"/>
        <name val="Cambria"/>
        <scheme val="minor"/>
      </font>
      <alignment horizontal="left" vertical="center" textRotation="0" indent="1" justifyLastLine="0" shrinkToFit="0" readingOrder="0"/>
    </dxf>
    <dxf>
      <font>
        <b/>
        <strike/>
        <outline/>
        <shadow/>
        <u val="none"/>
        <vertAlign val="baseline"/>
        <sz val="9"/>
        <color theme="3" tint="9.9978637043366805E-2"/>
        <name val="Cambria"/>
        <scheme val="minor"/>
      </font>
      <numFmt numFmtId="164" formatCode="yyyy/mm/dd\ hh:mm"/>
      <alignment horizontal="lef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9"/>
        <color theme="3" tint="9.9978637043366805E-2"/>
        <name val="Cambria"/>
        <scheme val="minor"/>
      </font>
      <alignment vertical="center" textRotation="0" indent="0" justifyLastLine="0" shrinkToFit="0" readingOrder="0"/>
    </dxf>
    <dxf>
      <font>
        <strike/>
        <outline/>
        <shadow/>
        <u val="none"/>
        <vertAlign val="baseline"/>
        <sz val="14"/>
        <color theme="1"/>
        <name val="Franklin Gothic Medium"/>
        <scheme val="major"/>
      </font>
      <alignment horizontal="left" vertical="bottom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Cambria"/>
        <scheme val="minor"/>
      </font>
      <numFmt numFmtId="0" formatCode="General"/>
      <alignment horizontal="left" vertical="center" textRotation="0" wrapText="1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3" tint="9.9978637043366805E-2"/>
        <name val="Cambria"/>
        <scheme val="minor"/>
      </font>
      <numFmt numFmtId="165" formatCode="hh:mm"/>
      <alignment horizontal="left" vertical="center" textRotation="0" wrapText="0" relative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8"/>
        <color theme="1"/>
        <name val="Cambria"/>
        <scheme val="minor"/>
      </font>
      <alignment horizontal="center" vertical="center" textRotation="0" wrapText="1" indent="0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11"/>
        <color theme="1"/>
        <name val="Cambria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5" tint="-0.499984740745262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/>
        <i val="0"/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8"/>
        </top>
        <bottom style="thin">
          <color theme="8"/>
        </bottom>
        <vertical/>
        <horizontal/>
      </border>
    </dxf>
    <dxf>
      <font>
        <b/>
        <i val="0"/>
        <color theme="9"/>
      </font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i val="0"/>
        <color theme="6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6"/>
        </top>
        <bottom style="thin">
          <color theme="6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7"/>
        </top>
        <bottom style="thin">
          <color theme="7"/>
        </bottom>
        <vertical/>
        <horizontal/>
      </border>
    </dxf>
    <dxf>
      <font>
        <color theme="5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color theme="4"/>
      </font>
      <fill>
        <patternFill>
          <bgColor theme="4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2"/>
        </patternFill>
      </fill>
      <border>
        <horizontal/>
      </border>
    </dxf>
    <dxf>
      <font>
        <b/>
        <i val="0"/>
        <color theme="3" tint="9.9917600024414813E-2"/>
      </font>
      <border>
        <horizontal/>
      </border>
    </dxf>
    <dxf>
      <font>
        <b val="0"/>
        <i val="0"/>
        <color theme="3" tint="9.9887081514938816E-2"/>
      </font>
      <border diagonalUp="0" diagonalDown="0">
        <left/>
        <right/>
        <top/>
        <bottom/>
        <vertical/>
        <horizontal/>
      </border>
    </dxf>
    <dxf>
      <font>
        <b/>
        <i val="0"/>
        <color theme="3" tint="9.9917600024414813E-2"/>
      </font>
      <border>
        <top style="thick">
          <color theme="0"/>
        </top>
        <bottom style="thick">
          <color theme="0"/>
        </bottom>
        <vertical style="thick">
          <color theme="0"/>
        </vertical>
      </border>
    </dxf>
  </dxfs>
  <tableStyles count="1" defaultTableStyle="Daily Schedule" defaultPivotStyle="PivotStyleLight16">
    <tableStyle name="Daily Schedule" pivot="0" count="5">
      <tableStyleElement type="wholeTable" dxfId="26"/>
      <tableStyleElement type="headerRow" dxfId="25"/>
      <tableStyleElement type="firstColumn" dxfId="24"/>
      <tableStyleElement type="firstRowStripe" dxfId="23"/>
      <tableStyleElement type="firstColumn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Wprowadzanie danych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armonogra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</xdr:row>
      <xdr:rowOff>76201</xdr:rowOff>
    </xdr:from>
    <xdr:to>
      <xdr:col>5</xdr:col>
      <xdr:colOff>1186815</xdr:colOff>
      <xdr:row>2</xdr:row>
      <xdr:rowOff>238126</xdr:rowOff>
    </xdr:to>
    <xdr:grpSp>
      <xdr:nvGrpSpPr>
        <xdr:cNvPr id="7" name="Pozycja harmonogramu" descr="Click to view or edit daily schedule entries" title="Schedule Entry">
          <a:hlinkClick xmlns:r="http://schemas.openxmlformats.org/officeDocument/2006/relationships" r:id="rId1" tooltip="Kliknij, aby wyświetlić lub edytować pozycje planu dnia"/>
        </xdr:cNvPr>
        <xdr:cNvGrpSpPr/>
      </xdr:nvGrpSpPr>
      <xdr:grpSpPr>
        <a:xfrm>
          <a:off x="4410075" y="219076"/>
          <a:ext cx="1863090" cy="304800"/>
          <a:chOff x="4162426" y="209550"/>
          <a:chExt cx="1390650" cy="266700"/>
        </a:xfrm>
      </xdr:grpSpPr>
      <xdr:sp macro="" textlink="">
        <xdr:nvSpPr>
          <xdr:cNvPr id="2" name="Prostokąt 1">
            <a:hlinkClick xmlns:r="http://schemas.openxmlformats.org/officeDocument/2006/relationships" r:id="rId1" tooltip="Kliknij, aby wyświetlić lub edytować pozycje planu dnia"/>
          </xdr:cNvPr>
          <xdr:cNvSpPr/>
        </xdr:nvSpPr>
        <xdr:spPr>
          <a:xfrm>
            <a:off x="4162426" y="209550"/>
            <a:ext cx="1390650" cy="2667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50" b="0">
                <a:solidFill>
                  <a:schemeClr val="bg1"/>
                </a:solidFill>
                <a:latin typeface="+mj-lt"/>
              </a:rPr>
              <a:t>Pozycja harmonogramu</a:t>
            </a:r>
          </a:p>
        </xdr:txBody>
      </xdr:sp>
      <xdr:sp macro="" textlink="">
        <xdr:nvSpPr>
          <xdr:cNvPr id="2054" name="Dowolny kształt 6"/>
          <xdr:cNvSpPr>
            <a:spLocks/>
          </xdr:cNvSpPr>
        </xdr:nvSpPr>
        <xdr:spPr bwMode="auto">
          <a:xfrm>
            <a:off x="5362575" y="295275"/>
            <a:ext cx="57150" cy="104775"/>
          </a:xfrm>
          <a:custGeom>
            <a:avLst/>
            <a:gdLst>
              <a:gd name="T0" fmla="*/ 478 w 1799"/>
              <a:gd name="T1" fmla="*/ 0 h 3208"/>
              <a:gd name="T2" fmla="*/ 1799 w 1799"/>
              <a:gd name="T3" fmla="*/ 1605 h 3208"/>
              <a:gd name="T4" fmla="*/ 478 w 1799"/>
              <a:gd name="T5" fmla="*/ 3208 h 3208"/>
              <a:gd name="T6" fmla="*/ 0 w 1799"/>
              <a:gd name="T7" fmla="*/ 2813 h 3208"/>
              <a:gd name="T8" fmla="*/ 995 w 1799"/>
              <a:gd name="T9" fmla="*/ 1605 h 3208"/>
              <a:gd name="T10" fmla="*/ 0 w 1799"/>
              <a:gd name="T11" fmla="*/ 396 h 3208"/>
              <a:gd name="T12" fmla="*/ 478 w 1799"/>
              <a:gd name="T13" fmla="*/ 0 h 32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99" h="3208">
                <a:moveTo>
                  <a:pt x="478" y="0"/>
                </a:moveTo>
                <a:lnTo>
                  <a:pt x="1799" y="1605"/>
                </a:lnTo>
                <a:lnTo>
                  <a:pt x="478" y="3208"/>
                </a:lnTo>
                <a:lnTo>
                  <a:pt x="0" y="2813"/>
                </a:lnTo>
                <a:lnTo>
                  <a:pt x="995" y="1605"/>
                </a:lnTo>
                <a:lnTo>
                  <a:pt x="0" y="396"/>
                </a:lnTo>
                <a:lnTo>
                  <a:pt x="478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8</xdr:col>
      <xdr:colOff>28574</xdr:colOff>
      <xdr:row>1</xdr:row>
      <xdr:rowOff>38101</xdr:rowOff>
    </xdr:from>
    <xdr:to>
      <xdr:col>10</xdr:col>
      <xdr:colOff>161925</xdr:colOff>
      <xdr:row>3</xdr:row>
      <xdr:rowOff>200025</xdr:rowOff>
    </xdr:to>
    <xdr:sp macro="" textlink="">
      <xdr:nvSpPr>
        <xdr:cNvPr id="8" name="Porada" descr="TIP: Change the date and name to see a specific weekly schedule." title="Template Tip"/>
        <xdr:cNvSpPr/>
      </xdr:nvSpPr>
      <xdr:spPr>
        <a:xfrm>
          <a:off x="9429749" y="180976"/>
          <a:ext cx="2124076" cy="561974"/>
        </a:xfrm>
        <a:prstGeom prst="wedgeRectCallout">
          <a:avLst>
            <a:gd name="adj1" fmla="val -54802"/>
            <a:gd name="adj2" fmla="val -22685"/>
          </a:avLst>
        </a:prstGeom>
        <a:noFill/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PORADA: zmień datę i nazwę, aby zobaczyć określony plan tygodnia.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1028701</xdr:colOff>
      <xdr:row>0</xdr:row>
      <xdr:rowOff>200025</xdr:rowOff>
    </xdr:from>
    <xdr:to>
      <xdr:col>3</xdr:col>
      <xdr:colOff>1981201</xdr:colOff>
      <xdr:row>0</xdr:row>
      <xdr:rowOff>504825</xdr:rowOff>
    </xdr:to>
    <xdr:grpSp>
      <xdr:nvGrpSpPr>
        <xdr:cNvPr id="16" name="Plan dnia" descr="Click to view daily schedule" title="Daily Schedule">
          <a:hlinkClick xmlns:r="http://schemas.openxmlformats.org/officeDocument/2006/relationships" r:id="rId1" tooltip="Kliknij, aby wyświetlić plan dnia"/>
        </xdr:cNvPr>
        <xdr:cNvGrpSpPr/>
      </xdr:nvGrpSpPr>
      <xdr:grpSpPr>
        <a:xfrm>
          <a:off x="5038726" y="200025"/>
          <a:ext cx="952500" cy="304800"/>
          <a:chOff x="4162427" y="209549"/>
          <a:chExt cx="905371" cy="266699"/>
        </a:xfrm>
      </xdr:grpSpPr>
      <xdr:sp macro="" textlink="">
        <xdr:nvSpPr>
          <xdr:cNvPr id="17" name="Prostokąt 16">
            <a:hlinkClick xmlns:r="http://schemas.openxmlformats.org/officeDocument/2006/relationships" r:id="rId1" tooltip="Kliknij, aby wyświetlić plan dnia"/>
          </xdr:cNvPr>
          <xdr:cNvSpPr/>
        </xdr:nvSpPr>
        <xdr:spPr>
          <a:xfrm>
            <a:off x="4162427" y="209549"/>
            <a:ext cx="905371" cy="266699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Franklin Gothic Medium"/>
                <a:ea typeface="+mn-ea"/>
                <a:cs typeface="+mn-cs"/>
              </a:rPr>
              <a:t>Plan dnia</a:t>
            </a:r>
          </a:p>
        </xdr:txBody>
      </xdr:sp>
      <xdr:sp macro="" textlink="">
        <xdr:nvSpPr>
          <xdr:cNvPr id="21" name="Dowolny kształt 6"/>
          <xdr:cNvSpPr>
            <a:spLocks/>
          </xdr:cNvSpPr>
        </xdr:nvSpPr>
        <xdr:spPr bwMode="auto">
          <a:xfrm flipH="1">
            <a:off x="4276724" y="285750"/>
            <a:ext cx="57150" cy="104775"/>
          </a:xfrm>
          <a:custGeom>
            <a:avLst/>
            <a:gdLst>
              <a:gd name="T0" fmla="*/ 478 w 1799"/>
              <a:gd name="T1" fmla="*/ 0 h 3208"/>
              <a:gd name="T2" fmla="*/ 1799 w 1799"/>
              <a:gd name="T3" fmla="*/ 1605 h 3208"/>
              <a:gd name="T4" fmla="*/ 478 w 1799"/>
              <a:gd name="T5" fmla="*/ 3208 h 3208"/>
              <a:gd name="T6" fmla="*/ 0 w 1799"/>
              <a:gd name="T7" fmla="*/ 2813 h 3208"/>
              <a:gd name="T8" fmla="*/ 995 w 1799"/>
              <a:gd name="T9" fmla="*/ 1605 h 3208"/>
              <a:gd name="T10" fmla="*/ 0 w 1799"/>
              <a:gd name="T11" fmla="*/ 396 h 3208"/>
              <a:gd name="T12" fmla="*/ 478 w 1799"/>
              <a:gd name="T13" fmla="*/ 0 h 32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99" h="3208">
                <a:moveTo>
                  <a:pt x="478" y="0"/>
                </a:moveTo>
                <a:lnTo>
                  <a:pt x="1799" y="1605"/>
                </a:lnTo>
                <a:lnTo>
                  <a:pt x="478" y="3208"/>
                </a:lnTo>
                <a:lnTo>
                  <a:pt x="0" y="2813"/>
                </a:lnTo>
                <a:lnTo>
                  <a:pt x="995" y="1605"/>
                </a:lnTo>
                <a:lnTo>
                  <a:pt x="0" y="396"/>
                </a:lnTo>
                <a:lnTo>
                  <a:pt x="4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</xdr:wsDr>
</file>

<file path=xl/tables/table1.xml><?xml version="1.0" encoding="utf-8"?>
<table xmlns="http://schemas.openxmlformats.org/spreadsheetml/2006/main" id="2" name="tblSchedule" displayName="tblHarmonogram" ref="B6:I23" totalsRowShown="0" headerRowDxfId="14" dataDxfId="13">
  <tableColumns count="8">
    <tableColumn id="1" name="GODZINA" dataDxfId="12"/>
    <tableColumn id="2" name="PONIEDZIAŁEK" dataDxfId="11">
      <calculatedColumnFormula array="1">IFERROR(INDEX(tblDane[],MATCH(C$5+$B7&amp;Wyświetlana_nazwa,tblDane[DATA I GODZINA]&amp;tblDane[KTO],0),3),"")</calculatedColumnFormula>
    </tableColumn>
    <tableColumn id="3" name="WTOREK" dataDxfId="10">
      <calculatedColumnFormula array="1">IFERROR(INDEX(tblDane[],MATCH(D$5+$B7&amp;Wyświetlana_nazwa,tblDane[DATA I GODZINA]&amp;tblDane[KTO],0),3),"")</calculatedColumnFormula>
    </tableColumn>
    <tableColumn id="4" name="ŚRODA" dataDxfId="9">
      <calculatedColumnFormula array="1">IFERROR(INDEX(tblDane[],MATCH(E$5+$B7&amp;Wyświetlana_nazwa,tblDane[DATA I GODZINA]&amp;tblDane[KTO],0),3),"")</calculatedColumnFormula>
    </tableColumn>
    <tableColumn id="5" name="CZWARTEK" dataDxfId="8">
      <calculatedColumnFormula array="1">IFERROR(INDEX(tblDane[],MATCH(F$5+$B7&amp;Wyświetlana_nazwa,tblDane[DATA I GODZINA]&amp;tblDane[KTO],0),3),"")</calculatedColumnFormula>
    </tableColumn>
    <tableColumn id="6" name="PIĄTEK" dataDxfId="7">
      <calculatedColumnFormula array="1">IFERROR(INDEX(tblDane[],MATCH(G$5+$B7&amp;Wyświetlana_nazwa,tblDane[DATA I GODZINA]&amp;tblDane[KTO],0),3),"")</calculatedColumnFormula>
    </tableColumn>
    <tableColumn id="7" name="SOBOTA" dataDxfId="6">
      <calculatedColumnFormula array="1">IFERROR(INDEX(tblDane[],MATCH(H$5+$B7&amp;Wyświetlana_nazwa,tblDane[DATA I GODZINA]&amp;tblDane[KTO],0),3),"")</calculatedColumnFormula>
    </tableColumn>
    <tableColumn id="8" name="NIEDZIELA" dataDxfId="5">
      <calculatedColumnFormula array="1">IFERROR(INDEX(tblDane[],MATCH(I$5+$B7&amp;Wyświetlana_nazwa,tblDane[DATA I GODZINA]&amp;tblDane[KTO],0),3),"")</calculatedColumnFormula>
    </tableColumn>
  </tableColumns>
  <tableStyleInfo name="Daily Schedule" showFirstColumn="1" showLastColumn="0" showRowStripes="1" showColumnStripes="0"/>
  <extLst>
    <ext xmlns:x14="http://schemas.microsoft.com/office/spreadsheetml/2009/9/main" uri="{504A1905-F514-4f6f-8877-14C23A59335A}">
      <x14:table altText="Tabela Plan dnia" altTextSummary="Na podstawie formuł ta tabela pokazuje harmonogram dla osoby określonej u góry. Po wprowadzeniu daty zostanie wyświetlony cały tydzień zaczynający się od poniedziałku."/>
    </ext>
  </extLst>
</table>
</file>

<file path=xl/tables/table2.xml><?xml version="1.0" encoding="utf-8"?>
<table xmlns="http://schemas.openxmlformats.org/spreadsheetml/2006/main" id="1" name="tblData" displayName="tblDane" ref="B3:D14" totalsRowShown="0" headerRowDxfId="4" dataDxfId="3">
  <autoFilter ref="B3:D14"/>
  <tableColumns count="3">
    <tableColumn id="1" name="DATA I GODZINA" dataDxfId="2"/>
    <tableColumn id="3" name="KTO" dataDxfId="1"/>
    <tableColumn id="4" name="ZADANIE" dataDxfId="0"/>
  </tableColumns>
  <tableStyleInfo name="Daily Schedule" showFirstColumn="1" showLastColumn="0" showRowStripes="1" showColumnStripes="0"/>
  <extLst>
    <ext xmlns:x14="http://schemas.microsoft.com/office/spreadsheetml/2009/9/main" uri="{504A1905-F514-4f6f-8877-14C23A59335A}">
      <x14:table altText="Tabela Wprowadzanie danych" altTextSummary="Tutaj wprowadź dane harmonogramu. Data i godzina znajdują się w tej samej kolumnie. Dodaj osobę, dla której jest tworzony harmonogram, oraz odpowiednie zadania, aby wyświetlić te dane w arkuszu Harmonogram."/>
    </ext>
  </extLst>
</table>
</file>

<file path=xl/theme/theme1.xml><?xml version="1.0" encoding="utf-8"?>
<a:theme xmlns:a="http://schemas.openxmlformats.org/drawingml/2006/main" name="Office Theme">
  <a:themeElements>
    <a:clrScheme name="Daily Schedule">
      <a:dk1>
        <a:srgbClr val="000000"/>
      </a:dk1>
      <a:lt1>
        <a:srgbClr val="FFFFFF"/>
      </a:lt1>
      <a:dk2>
        <a:srgbClr val="383429"/>
      </a:dk2>
      <a:lt2>
        <a:srgbClr val="EDEDEC"/>
      </a:lt2>
      <a:accent1>
        <a:srgbClr val="F05133"/>
      </a:accent1>
      <a:accent2>
        <a:srgbClr val="199DDC"/>
      </a:accent2>
      <a:accent3>
        <a:srgbClr val="F7931E"/>
      </a:accent3>
      <a:accent4>
        <a:srgbClr val="3CACA1"/>
      </a:accent4>
      <a:accent5>
        <a:srgbClr val="DEB408"/>
      </a:accent5>
      <a:accent6>
        <a:srgbClr val="78A22F"/>
      </a:accent6>
      <a:hlink>
        <a:srgbClr val="009DDC"/>
      </a:hlink>
      <a:folHlink>
        <a:srgbClr val="866AA7"/>
      </a:folHlink>
    </a:clrScheme>
    <a:fontScheme name="Daily Schedule">
      <a:majorFont>
        <a:latin typeface="Franklin Gothic Medium"/>
        <a:ea typeface=""/>
        <a:cs typeface=""/>
      </a:majorFont>
      <a:minorFont>
        <a:latin typeface="Cambr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autoPageBreaks="0" fitToPage="1"/>
  </sheetPr>
  <dimension ref="A1:I23"/>
  <sheetViews>
    <sheetView showGridLines="0" tabSelected="1" zoomScaleNormal="100" workbookViewId="0"/>
  </sheetViews>
  <sheetFormatPr defaultRowHeight="26.25" customHeight="1" x14ac:dyDescent="0.2"/>
  <cols>
    <col min="1" max="1" width="1.7109375" customWidth="1"/>
    <col min="2" max="2" width="12.42578125" customWidth="1"/>
    <col min="3" max="7" width="20.7109375" customWidth="1"/>
    <col min="8" max="8" width="23.28515625" customWidth="1"/>
    <col min="9" max="9" width="20.7109375" customWidth="1"/>
  </cols>
  <sheetData>
    <row r="1" spans="1:9" ht="11.25" customHeight="1" x14ac:dyDescent="0.2"/>
    <row r="2" spans="1:9" ht="11.25" customHeight="1" x14ac:dyDescent="0.2">
      <c r="A2" s="1"/>
      <c r="B2" s="34" t="s">
        <v>0</v>
      </c>
      <c r="C2" s="34"/>
      <c r="D2" s="34"/>
      <c r="G2" s="11" t="s">
        <v>8</v>
      </c>
      <c r="H2" s="11" t="s">
        <v>13</v>
      </c>
    </row>
    <row r="3" spans="1:9" ht="20.25" customHeight="1" x14ac:dyDescent="0.2">
      <c r="B3" s="34"/>
      <c r="C3" s="34"/>
      <c r="D3" s="34"/>
      <c r="F3" s="2">
        <f>WEEKDAY(Tydzień,1)</f>
        <v>3</v>
      </c>
      <c r="G3" s="13">
        <v>41093</v>
      </c>
      <c r="H3" s="14" t="s">
        <v>24</v>
      </c>
    </row>
    <row r="4" spans="1:9" s="3" customFormat="1" ht="27" customHeight="1" x14ac:dyDescent="0.15">
      <c r="C4" s="4" t="b">
        <f>$F$3=COLUMN(A$1)</f>
        <v>0</v>
      </c>
      <c r="D4" s="4" t="b">
        <f t="shared" ref="D4:I4" si="0">$F$3=COLUMN(B$1)</f>
        <v>0</v>
      </c>
      <c r="E4" s="4" t="b">
        <f t="shared" si="0"/>
        <v>1</v>
      </c>
      <c r="F4" s="4" t="b">
        <f t="shared" si="0"/>
        <v>0</v>
      </c>
      <c r="G4" s="4" t="b">
        <f t="shared" si="0"/>
        <v>0</v>
      </c>
      <c r="H4" s="4" t="b">
        <f t="shared" si="0"/>
        <v>0</v>
      </c>
      <c r="I4" s="4" t="b">
        <f t="shared" si="0"/>
        <v>0</v>
      </c>
    </row>
    <row r="5" spans="1:9" s="3" customFormat="1" ht="10.5" customHeight="1" x14ac:dyDescent="0.15">
      <c r="C5" s="18">
        <f t="shared" ref="C5:I5" si="1">COLUMN(A$1)-MATCH(TRUE,$C$4:$I$4,0)+Tydzień+1</f>
        <v>41092</v>
      </c>
      <c r="D5" s="18">
        <f t="shared" si="1"/>
        <v>41093</v>
      </c>
      <c r="E5" s="18">
        <f t="shared" si="1"/>
        <v>41094</v>
      </c>
      <c r="F5" s="18">
        <f t="shared" si="1"/>
        <v>41095</v>
      </c>
      <c r="G5" s="18">
        <f t="shared" si="1"/>
        <v>41096</v>
      </c>
      <c r="H5" s="18">
        <f t="shared" si="1"/>
        <v>41097</v>
      </c>
      <c r="I5" s="18">
        <f t="shared" si="1"/>
        <v>41098</v>
      </c>
    </row>
    <row r="6" spans="1:9" ht="23.25" customHeight="1" x14ac:dyDescent="0.35">
      <c r="B6" s="15" t="s">
        <v>14</v>
      </c>
      <c r="C6" s="19" t="s">
        <v>2</v>
      </c>
      <c r="D6" s="20" t="s">
        <v>3</v>
      </c>
      <c r="E6" s="21" t="s">
        <v>4</v>
      </c>
      <c r="F6" s="22" t="s">
        <v>5</v>
      </c>
      <c r="G6" s="23" t="s">
        <v>6</v>
      </c>
      <c r="H6" s="24" t="s">
        <v>7</v>
      </c>
      <c r="I6" s="25" t="s">
        <v>1</v>
      </c>
    </row>
    <row r="7" spans="1:9" ht="26.25" customHeight="1" x14ac:dyDescent="0.2">
      <c r="B7" s="31">
        <v>0.25</v>
      </c>
      <c r="C7" s="10" t="str">
        <f t="array" ref="C7">IFERROR(INDEX(tblDane[],MATCH(C$5+$B7&amp;Wyświetlana_nazwa,tblDane[DATA I GODZINA]&amp;tblDane[KTO],0),3),"")</f>
        <v/>
      </c>
      <c r="D7" s="10" t="str">
        <f t="array" ref="D7">IFERROR(INDEX(tblDane[],MATCH(D$5+$B7&amp;Wyświetlana_nazwa,tblDane[DATA I GODZINA]&amp;tblDane[KTO],0),3),"")</f>
        <v/>
      </c>
      <c r="E7" s="10" t="str">
        <f t="array" ref="E7">IFERROR(INDEX(tblDane[],MATCH(E$5+$B7&amp;Wyświetlana_nazwa,tblDane[DATA I GODZINA]&amp;tblDane[KTO],0),3),"")</f>
        <v/>
      </c>
      <c r="F7" s="10" t="str">
        <f t="array" ref="F7">IFERROR(INDEX(tblDane[],MATCH(F$5+$B7&amp;Wyświetlana_nazwa,tblDane[DATA I GODZINA]&amp;tblDane[KTO],0),3),"")</f>
        <v/>
      </c>
      <c r="G7" s="10" t="str">
        <f t="array" ref="G7">IFERROR(INDEX(tblDane[],MATCH(G$5+$B7&amp;Wyświetlana_nazwa,tblDane[DATA I GODZINA]&amp;tblDane[KTO],0),3),"")</f>
        <v/>
      </c>
      <c r="H7" s="10" t="str">
        <f t="array" ref="H7">IFERROR(INDEX(tblDane[],MATCH(H$5+$B7&amp;Wyświetlana_nazwa,tblDane[DATA I GODZINA]&amp;tblDane[KTO],0),3),"")</f>
        <v/>
      </c>
      <c r="I7" s="10" t="str">
        <f t="array" ref="I7">IFERROR(INDEX(tblDane[],MATCH(I$5+$B7&amp;Wyświetlana_nazwa,tblDane[DATA I GODZINA]&amp;tblDane[KTO],0),3),"")</f>
        <v/>
      </c>
    </row>
    <row r="8" spans="1:9" ht="26.25" customHeight="1" x14ac:dyDescent="0.2">
      <c r="B8" s="31">
        <v>0.29166666666666669</v>
      </c>
      <c r="C8" s="10" t="str">
        <f t="array" ref="C8">IFERROR(INDEX(tblDane[],MATCH(C$5+$B8&amp;Wyświetlana_nazwa,tblDane[DATA I GODZINA]&amp;tblDane[KTO],0),3),"")</f>
        <v/>
      </c>
      <c r="D8" s="10" t="str">
        <f t="array" ref="D8">IFERROR(INDEX(tblDane[],MATCH(D$5+$B8&amp;Wyświetlana_nazwa,tblDane[DATA I GODZINA]&amp;tblDane[KTO],0),3),"")</f>
        <v/>
      </c>
      <c r="E8" s="10" t="str">
        <f t="array" ref="E8">IFERROR(INDEX(tblDane[],MATCH(E$5+$B8&amp;Wyświetlana_nazwa,tblDane[DATA I GODZINA]&amp;tblDane[KTO],0),3),"")</f>
        <v/>
      </c>
      <c r="F8" s="10" t="str">
        <f t="array" ref="F8">IFERROR(INDEX(tblDane[],MATCH(F$5+$B8&amp;Wyświetlana_nazwa,tblDane[DATA I GODZINA]&amp;tblDane[KTO],0),3),"")</f>
        <v/>
      </c>
      <c r="G8" s="10" t="str">
        <f t="array" ref="G8">IFERROR(INDEX(tblDane[],MATCH(G$5+$B8&amp;Wyświetlana_nazwa,tblDane[DATA I GODZINA]&amp;tblDane[KTO],0),3),"")</f>
        <v/>
      </c>
      <c r="H8" s="10" t="str">
        <f t="array" ref="H8">IFERROR(INDEX(tblDane[],MATCH(H$5+$B8&amp;Wyświetlana_nazwa,tblDane[DATA I GODZINA]&amp;tblDane[KTO],0),3),"")</f>
        <v/>
      </c>
      <c r="I8" s="10" t="str">
        <f t="array" ref="I8">IFERROR(INDEX(tblDane[],MATCH(I$5+$B8&amp;Wyświetlana_nazwa,tblDane[DATA I GODZINA]&amp;tblDane[KTO],0),3),"")</f>
        <v/>
      </c>
    </row>
    <row r="9" spans="1:9" ht="26.25" customHeight="1" x14ac:dyDescent="0.2">
      <c r="B9" s="31">
        <v>0.33333333333333298</v>
      </c>
      <c r="C9" s="10" t="str">
        <f t="array" ref="C9">IFERROR(INDEX(tblDane[],MATCH(C$5+$B9&amp;Wyświetlana_nazwa,tblDane[DATA I GODZINA]&amp;tblDane[KTO],0),3),"")</f>
        <v/>
      </c>
      <c r="D9" s="10" t="str">
        <f t="array" ref="D9">IFERROR(INDEX(tblDane[],MATCH(D$5+$B9&amp;Wyświetlana_nazwa,tblDane[DATA I GODZINA]&amp;tblDane[KTO],0),3),"")</f>
        <v/>
      </c>
      <c r="E9" s="10" t="str">
        <f t="array" ref="E9">IFERROR(INDEX(tblDane[],MATCH(E$5+$B9&amp;Wyświetlana_nazwa,tblDane[DATA I GODZINA]&amp;tblDane[KTO],0),3),"")</f>
        <v/>
      </c>
      <c r="F9" s="10" t="str">
        <f t="array" ref="F9">IFERROR(INDEX(tblDane[],MATCH(F$5+$B9&amp;Wyświetlana_nazwa,tblDane[DATA I GODZINA]&amp;tblDane[KTO],0),3),"")</f>
        <v/>
      </c>
      <c r="G9" s="10" t="str">
        <f t="array" ref="G9">IFERROR(INDEX(tblDane[],MATCH(G$5+$B9&amp;Wyświetlana_nazwa,tblDane[DATA I GODZINA]&amp;tblDane[KTO],0),3),"")</f>
        <v/>
      </c>
      <c r="H9" s="10" t="str">
        <f t="array" ref="H9">IFERROR(INDEX(tblDane[],MATCH(H$5+$B9&amp;Wyświetlana_nazwa,tblDane[DATA I GODZINA]&amp;tblDane[KTO],0),3),"")</f>
        <v/>
      </c>
      <c r="I9" s="10" t="str">
        <f t="array" ref="I9">IFERROR(INDEX(tblDane[],MATCH(I$5+$B9&amp;Wyświetlana_nazwa,tblDane[DATA I GODZINA]&amp;tblDane[KTO],0),3),"")</f>
        <v/>
      </c>
    </row>
    <row r="10" spans="1:9" ht="26.25" customHeight="1" x14ac:dyDescent="0.2">
      <c r="B10" s="31">
        <v>0.375</v>
      </c>
      <c r="C10" s="10" t="str">
        <f t="array" ref="C10">IFERROR(INDEX(tblDane[],MATCH(C$5+$B10&amp;Wyświetlana_nazwa,tblDane[DATA I GODZINA]&amp;tblDane[KTO],0),3),"")</f>
        <v/>
      </c>
      <c r="D10" s="10" t="str">
        <f t="array" ref="D10">IFERROR(INDEX(tblDane[],MATCH(D$5+$B10&amp;Wyświetlana_nazwa,tblDane[DATA I GODZINA]&amp;tblDane[KTO],0),3),"")</f>
        <v/>
      </c>
      <c r="E10" s="10" t="str">
        <f t="array" ref="E10">IFERROR(INDEX(tblDane[],MATCH(E$5+$B10&amp;Wyświetlana_nazwa,tblDane[DATA I GODZINA]&amp;tblDane[KTO],0),3),"")</f>
        <v/>
      </c>
      <c r="F10" s="10" t="str">
        <f t="array" ref="F10">IFERROR(INDEX(tblDane[],MATCH(F$5+$B10&amp;Wyświetlana_nazwa,tblDane[DATA I GODZINA]&amp;tblDane[KTO],0),3),"")</f>
        <v/>
      </c>
      <c r="G10" s="10" t="str">
        <f t="array" ref="G10">IFERROR(INDEX(tblDane[],MATCH(G$5+$B10&amp;Wyświetlana_nazwa,tblDane[DATA I GODZINA]&amp;tblDane[KTO],0),3),"")</f>
        <v/>
      </c>
      <c r="H10" s="10" t="str">
        <f t="array" ref="H10">IFERROR(INDEX(tblDane[],MATCH(H$5+$B10&amp;Wyświetlana_nazwa,tblDane[DATA I GODZINA]&amp;tblDane[KTO],0),3),"")</f>
        <v/>
      </c>
      <c r="I10" s="10" t="str">
        <f t="array" ref="I10">IFERROR(INDEX(tblDane[],MATCH(I$5+$B10&amp;Wyświetlana_nazwa,tblDane[DATA I GODZINA]&amp;tblDane[KTO],0),3),"")</f>
        <v/>
      </c>
    </row>
    <row r="11" spans="1:9" ht="26.25" customHeight="1" x14ac:dyDescent="0.2">
      <c r="B11" s="31">
        <v>0.41666666666666702</v>
      </c>
      <c r="C11" s="10" t="str">
        <f t="array" ref="C11">IFERROR(INDEX(tblDane[],MATCH(C$5+$B11&amp;Wyświetlana_nazwa,tblDane[DATA I GODZINA]&amp;tblDane[KTO],0),3),"")</f>
        <v/>
      </c>
      <c r="D11" s="10" t="str">
        <f t="array" ref="D11">IFERROR(INDEX(tblDane[],MATCH(D$5+$B11&amp;Wyświetlana_nazwa,tblDane[DATA I GODZINA]&amp;tblDane[KTO],0),3),"")</f>
        <v/>
      </c>
      <c r="E11" s="10" t="str">
        <f t="array" ref="E11">IFERROR(INDEX(tblDane[],MATCH(E$5+$B11&amp;Wyświetlana_nazwa,tblDane[DATA I GODZINA]&amp;tblDane[KTO],0),3),"")</f>
        <v>Parada w centrum</v>
      </c>
      <c r="F11" s="10" t="str">
        <f t="array" ref="F11">IFERROR(INDEX(tblDane[],MATCH(F$5+$B11&amp;Wyświetlana_nazwa,tblDane[DATA I GODZINA]&amp;tblDane[KTO],0),3),"")</f>
        <v/>
      </c>
      <c r="G11" s="10" t="str">
        <f t="array" ref="G11">IFERROR(INDEX(tblDane[],MATCH(G$5+$B11&amp;Wyświetlana_nazwa,tblDane[DATA I GODZINA]&amp;tblDane[KTO],0),3),"")</f>
        <v/>
      </c>
      <c r="H11" s="10" t="str">
        <f t="array" ref="H11">IFERROR(INDEX(tblDane[],MATCH(H$5+$B11&amp;Wyświetlana_nazwa,tblDane[DATA I GODZINA]&amp;tblDane[KTO],0),3),"")</f>
        <v/>
      </c>
      <c r="I11" s="10" t="str">
        <f t="array" ref="I11">IFERROR(INDEX(tblDane[],MATCH(I$5+$B11&amp;Wyświetlana_nazwa,tblDane[DATA I GODZINA]&amp;tblDane[KTO],0),3),"")</f>
        <v/>
      </c>
    </row>
    <row r="12" spans="1:9" ht="26.25" customHeight="1" x14ac:dyDescent="0.2">
      <c r="B12" s="31">
        <v>0.45833333333333298</v>
      </c>
      <c r="C12" s="10" t="str">
        <f t="array" ref="C12">IFERROR(INDEX(tblDane[],MATCH(C$5+$B12&amp;Wyświetlana_nazwa,tblDane[DATA I GODZINA]&amp;tblDane[KTO],0),3),"")</f>
        <v/>
      </c>
      <c r="D12" s="10" t="str">
        <f t="array" ref="D12">IFERROR(INDEX(tblDane[],MATCH(D$5+$B12&amp;Wyświetlana_nazwa,tblDane[DATA I GODZINA]&amp;tblDane[KTO],0),3),"")</f>
        <v/>
      </c>
      <c r="E12" s="10" t="str">
        <f t="array" ref="E12">IFERROR(INDEX(tblDane[],MATCH(E$5+$B12&amp;Wyświetlana_nazwa,tblDane[DATA I GODZINA]&amp;tblDane[KTO],0),3),"")</f>
        <v/>
      </c>
      <c r="F12" s="10" t="str">
        <f t="array" ref="F12">IFERROR(INDEX(tblDane[],MATCH(F$5+$B12&amp;Wyświetlana_nazwa,tblDane[DATA I GODZINA]&amp;tblDane[KTO],0),3),"")</f>
        <v/>
      </c>
      <c r="G12" s="10" t="str">
        <f t="array" ref="G12">IFERROR(INDEX(tblDane[],MATCH(G$5+$B12&amp;Wyświetlana_nazwa,tblDane[DATA I GODZINA]&amp;tblDane[KTO],0),3),"")</f>
        <v>Grill rodzinny</v>
      </c>
      <c r="H12" s="10" t="str">
        <f t="array" ref="H12">IFERROR(INDEX(tblDane[],MATCH(H$5+$B12&amp;Wyświetlana_nazwa,tblDane[DATA I GODZINA]&amp;tblDane[KTO],0),3),"")</f>
        <v/>
      </c>
      <c r="I12" s="10" t="str">
        <f t="array" ref="I12">IFERROR(INDEX(tblDane[],MATCH(I$5+$B12&amp;Wyświetlana_nazwa,tblDane[DATA I GODZINA]&amp;tblDane[KTO],0),3),"")</f>
        <v/>
      </c>
    </row>
    <row r="13" spans="1:9" ht="26.25" customHeight="1" x14ac:dyDescent="0.2">
      <c r="B13" s="31">
        <v>0.5</v>
      </c>
      <c r="C13" s="10" t="str">
        <f t="array" ref="C13">IFERROR(INDEX(tblDane[],MATCH(C$5+$B13&amp;Wyświetlana_nazwa,tblDane[DATA I GODZINA]&amp;tblDane[KTO],0),3),"")</f>
        <v/>
      </c>
      <c r="D13" s="10" t="str">
        <f t="array" ref="D13">IFERROR(INDEX(tblDane[],MATCH(D$5+$B13&amp;Wyświetlana_nazwa,tblDane[DATA I GODZINA]&amp;tblDane[KTO],0),3),"")</f>
        <v/>
      </c>
      <c r="E13" s="10" t="str">
        <f t="array" ref="E13">IFERROR(INDEX(tblDane[],MATCH(E$5+$B13&amp;Wyświetlana_nazwa,tblDane[DATA I GODZINA]&amp;tblDane[KTO],0),3),"")</f>
        <v/>
      </c>
      <c r="F13" s="10" t="str">
        <f t="array" ref="F13">IFERROR(INDEX(tblDane[],MATCH(F$5+$B13&amp;Wyświetlana_nazwa,tblDane[DATA I GODZINA]&amp;tblDane[KTO],0),3),"")</f>
        <v/>
      </c>
      <c r="G13" s="10" t="str">
        <f t="array" ref="G13">IFERROR(INDEX(tblDane[],MATCH(G$5+$B13&amp;Wyświetlana_nazwa,tblDane[DATA I GODZINA]&amp;tblDane[KTO],0),3),"")</f>
        <v/>
      </c>
      <c r="H13" s="10" t="str">
        <f t="array" ref="H13">IFERROR(INDEX(tblDane[],MATCH(H$5+$B13&amp;Wyświetlana_nazwa,tblDane[DATA I GODZINA]&amp;tblDane[KTO],0),3),"")</f>
        <v/>
      </c>
      <c r="I13" s="10" t="str">
        <f t="array" ref="I13">IFERROR(INDEX(tblDane[],MATCH(I$5+$B13&amp;Wyświetlana_nazwa,tblDane[DATA I GODZINA]&amp;tblDane[KTO],0),3),"")</f>
        <v/>
      </c>
    </row>
    <row r="14" spans="1:9" ht="26.25" customHeight="1" x14ac:dyDescent="0.2">
      <c r="B14" s="31">
        <v>0.54166666666666696</v>
      </c>
      <c r="C14" s="10" t="str">
        <f t="array" ref="C14">IFERROR(INDEX(tblDane[],MATCH(C$5+$B14&amp;Wyświetlana_nazwa,tblDane[DATA I GODZINA]&amp;tblDane[KTO],0),3),"")</f>
        <v/>
      </c>
      <c r="D14" s="10" t="str">
        <f t="array" ref="D14">IFERROR(INDEX(tblDane[],MATCH(D$5+$B14&amp;Wyświetlana_nazwa,tblDane[DATA I GODZINA]&amp;tblDane[KTO],0),3),"")</f>
        <v/>
      </c>
      <c r="E14" s="10" t="str">
        <f t="array" ref="E14">IFERROR(INDEX(tblDane[],MATCH(E$5+$B14&amp;Wyświetlana_nazwa,tblDane[DATA I GODZINA]&amp;tblDane[KTO],0),3),"")</f>
        <v/>
      </c>
      <c r="F14" s="10" t="str">
        <f t="array" ref="F14">IFERROR(INDEX(tblDane[],MATCH(F$5+$B14&amp;Wyświetlana_nazwa,tblDane[DATA I GODZINA]&amp;tblDane[KTO],0),3),"")</f>
        <v/>
      </c>
      <c r="G14" s="10" t="str">
        <f t="array" ref="G14">IFERROR(INDEX(tblDane[],MATCH(G$5+$B14&amp;Wyświetlana_nazwa,tblDane[DATA I GODZINA]&amp;tblDane[KTO],0),3),"")</f>
        <v/>
      </c>
      <c r="H14" s="10" t="str">
        <f t="array" ref="H14">IFERROR(INDEX(tblDane[],MATCH(H$5+$B14&amp;Wyświetlana_nazwa,tblDane[DATA I GODZINA]&amp;tblDane[KTO],0),3),"")</f>
        <v/>
      </c>
      <c r="I14" s="10" t="str">
        <f t="array" ref="I14">IFERROR(INDEX(tblDane[],MATCH(I$5+$B14&amp;Wyświetlana_nazwa,tblDane[DATA I GODZINA]&amp;tblDane[KTO],0),3),"")</f>
        <v/>
      </c>
    </row>
    <row r="15" spans="1:9" ht="26.25" customHeight="1" x14ac:dyDescent="0.2">
      <c r="B15" s="31">
        <v>0.58333333333333304</v>
      </c>
      <c r="C15" s="10" t="str">
        <f t="array" ref="C15">IFERROR(INDEX(tblDane[],MATCH(C$5+$B15&amp;Wyświetlana_nazwa,tblDane[DATA I GODZINA]&amp;tblDane[KTO],0),3),"")</f>
        <v/>
      </c>
      <c r="D15" s="10" t="str">
        <f t="array" ref="D15">IFERROR(INDEX(tblDane[],MATCH(D$5+$B15&amp;Wyświetlana_nazwa,tblDane[DATA I GODZINA]&amp;tblDane[KTO],0),3),"")</f>
        <v/>
      </c>
      <c r="E15" s="10" t="str">
        <f t="array" ref="E15">IFERROR(INDEX(tblDane[],MATCH(E$5+$B15&amp;Wyświetlana_nazwa,tblDane[DATA I GODZINA]&amp;tblDane[KTO],0),3),"")</f>
        <v/>
      </c>
      <c r="F15" s="10" t="str">
        <f t="array" ref="F15">IFERROR(INDEX(tblDane[],MATCH(F$5+$B15&amp;Wyświetlana_nazwa,tblDane[DATA I GODZINA]&amp;tblDane[KTO],0),3),"")</f>
        <v/>
      </c>
      <c r="G15" s="10" t="str">
        <f t="array" ref="G15">IFERROR(INDEX(tblDane[],MATCH(G$5+$B15&amp;Wyświetlana_nazwa,tblDane[DATA I GODZINA]&amp;tblDane[KTO],0),3),"")</f>
        <v/>
      </c>
      <c r="H15" s="10" t="str">
        <f t="array" ref="H15">IFERROR(INDEX(tblDane[],MATCH(H$5+$B15&amp;Wyświetlana_nazwa,tblDane[DATA I GODZINA]&amp;tblDane[KTO],0),3),"")</f>
        <v/>
      </c>
      <c r="I15" s="10" t="str">
        <f t="array" ref="I15">IFERROR(INDEX(tblDane[],MATCH(I$5+$B15&amp;Wyświetlana_nazwa,tblDane[DATA I GODZINA]&amp;tblDane[KTO],0),3),"")</f>
        <v/>
      </c>
    </row>
    <row r="16" spans="1:9" ht="26.25" customHeight="1" x14ac:dyDescent="0.2">
      <c r="B16" s="31">
        <v>0.625</v>
      </c>
      <c r="C16" s="10" t="str">
        <f t="array" ref="C16">IFERROR(INDEX(tblDane[],MATCH(C$5+$B16&amp;Wyświetlana_nazwa,tblDane[DATA I GODZINA]&amp;tblDane[KTO],0),3),"")</f>
        <v/>
      </c>
      <c r="D16" s="10" t="str">
        <f t="array" ref="D16">IFERROR(INDEX(tblDane[],MATCH(D$5+$B16&amp;Wyświetlana_nazwa,tblDane[DATA I GODZINA]&amp;tblDane[KTO],0),3),"")</f>
        <v/>
      </c>
      <c r="E16" s="10" t="str">
        <f t="array" ref="E16">IFERROR(INDEX(tblDane[],MATCH(E$5+$B16&amp;Wyświetlana_nazwa,tblDane[DATA I GODZINA]&amp;tblDane[KTO],0),3),"")</f>
        <v/>
      </c>
      <c r="F16" s="10" t="str">
        <f t="array" ref="F16">IFERROR(INDEX(tblDane[],MATCH(F$5+$B16&amp;Wyświetlana_nazwa,tblDane[DATA I GODZINA]&amp;tblDane[KTO],0),3),"")</f>
        <v/>
      </c>
      <c r="G16" s="10" t="str">
        <f t="array" ref="G16">IFERROR(INDEX(tblDane[],MATCH(G$5+$B16&amp;Wyświetlana_nazwa,tblDane[DATA I GODZINA]&amp;tblDane[KTO],0),3),"")</f>
        <v/>
      </c>
      <c r="H16" s="10" t="str">
        <f t="array" ref="H16">IFERROR(INDEX(tblDane[],MATCH(H$5+$B16&amp;Wyświetlana_nazwa,tblDane[DATA I GODZINA]&amp;tblDane[KTO],0),3),"")</f>
        <v/>
      </c>
      <c r="I16" s="10" t="str">
        <f t="array" ref="I16">IFERROR(INDEX(tblDane[],MATCH(I$5+$B16&amp;Wyświetlana_nazwa,tblDane[DATA I GODZINA]&amp;tblDane[KTO],0),3),"")</f>
        <v/>
      </c>
    </row>
    <row r="17" spans="2:9" ht="26.25" customHeight="1" x14ac:dyDescent="0.2">
      <c r="B17" s="31">
        <v>0.66666666666666696</v>
      </c>
      <c r="C17" s="10" t="str">
        <f t="array" ref="C17">IFERROR(INDEX(tblDane[],MATCH(C$5+$B17&amp;Wyświetlana_nazwa,tblDane[DATA I GODZINA]&amp;tblDane[KTO],0),3),"")</f>
        <v/>
      </c>
      <c r="D17" s="10" t="str">
        <f t="array" ref="D17">IFERROR(INDEX(tblDane[],MATCH(D$5+$B17&amp;Wyświetlana_nazwa,tblDane[DATA I GODZINA]&amp;tblDane[KTO],0),3),"")</f>
        <v>Wyjazd do domku letniskowego</v>
      </c>
      <c r="E17" s="10" t="str">
        <f t="array" ref="E17">IFERROR(INDEX(tblDane[],MATCH(E$5+$B17&amp;Wyświetlana_nazwa,tblDane[DATA I GODZINA]&amp;tblDane[KTO],0),3),"")</f>
        <v/>
      </c>
      <c r="F17" s="10" t="str">
        <f t="array" ref="F17">IFERROR(INDEX(tblDane[],MATCH(F$5+$B17&amp;Wyświetlana_nazwa,tblDane[DATA I GODZINA]&amp;tblDane[KTO],0),3),"")</f>
        <v/>
      </c>
      <c r="G17" s="10" t="str">
        <f t="array" ref="G17">IFERROR(INDEX(tblDane[],MATCH(G$5+$B17&amp;Wyświetlana_nazwa,tblDane[DATA I GODZINA]&amp;tblDane[KTO],0),3),"")</f>
        <v/>
      </c>
      <c r="H17" s="10" t="str">
        <f t="array" ref="H17">IFERROR(INDEX(tblDane[],MATCH(H$5+$B17&amp;Wyświetlana_nazwa,tblDane[DATA I GODZINA]&amp;tblDane[KTO],0),3),"")</f>
        <v/>
      </c>
      <c r="I17" s="10" t="str">
        <f t="array" ref="I17">IFERROR(INDEX(tblDane[],MATCH(I$5+$B17&amp;Wyświetlana_nazwa,tblDane[DATA I GODZINA]&amp;tblDane[KTO],0),3),"")</f>
        <v/>
      </c>
    </row>
    <row r="18" spans="2:9" ht="26.25" customHeight="1" x14ac:dyDescent="0.2">
      <c r="B18" s="31">
        <v>0.70833333333333404</v>
      </c>
      <c r="C18" s="10" t="str">
        <f t="array" ref="C18">IFERROR(INDEX(tblDane[],MATCH(C$5+$B18&amp;Wyświetlana_nazwa,tblDane[DATA I GODZINA]&amp;tblDane[KTO],0),3),"")</f>
        <v/>
      </c>
      <c r="D18" s="10" t="str">
        <f t="array" ref="D18">IFERROR(INDEX(tblDane[],MATCH(D$5+$B18&amp;Wyświetlana_nazwa,tblDane[DATA I GODZINA]&amp;tblDane[KTO],0),3),"")</f>
        <v/>
      </c>
      <c r="E18" s="10" t="str">
        <f t="array" ref="E18">IFERROR(INDEX(tblDane[],MATCH(E$5+$B18&amp;Wyświetlana_nazwa,tblDane[DATA I GODZINA]&amp;tblDane[KTO],0),3),"")</f>
        <v/>
      </c>
      <c r="F18" s="10" t="str">
        <f t="array" ref="F18">IFERROR(INDEX(tblDane[],MATCH(F$5+$B18&amp;Wyświetlana_nazwa,tblDane[DATA I GODZINA]&amp;tblDane[KTO],0),3),"")</f>
        <v/>
      </c>
      <c r="G18" s="10" t="str">
        <f t="array" ref="G18">IFERROR(INDEX(tblDane[],MATCH(G$5+$B18&amp;Wyświetlana_nazwa,tblDane[DATA I GODZINA]&amp;tblDane[KTO],0),3),"")</f>
        <v/>
      </c>
      <c r="H18" s="10" t="str">
        <f t="array" ref="H18">IFERROR(INDEX(tblDane[],MATCH(H$5+$B18&amp;Wyświetlana_nazwa,tblDane[DATA I GODZINA]&amp;tblDane[KTO],0),3),"")</f>
        <v/>
      </c>
      <c r="I18" s="10" t="str">
        <f t="array" ref="I18">IFERROR(INDEX(tblDane[],MATCH(I$5+$B18&amp;Wyświetlana_nazwa,tblDane[DATA I GODZINA]&amp;tblDane[KTO],0),3),"")</f>
        <v>Powrót do domu</v>
      </c>
    </row>
    <row r="19" spans="2:9" ht="26.25" customHeight="1" x14ac:dyDescent="0.2">
      <c r="B19" s="31">
        <v>0.75</v>
      </c>
      <c r="C19" s="10" t="str">
        <f t="array" ref="C19">IFERROR(INDEX(tblDane[],MATCH(C$5+$B19&amp;Wyświetlana_nazwa,tblDane[DATA I GODZINA]&amp;tblDane[KTO],0),3),"")</f>
        <v>Wziąć lekarstwo</v>
      </c>
      <c r="D19" s="10" t="str">
        <f t="array" ref="D19">IFERROR(INDEX(tblDane[],MATCH(D$5+$B19&amp;Wyświetlana_nazwa,tblDane[DATA I GODZINA]&amp;tblDane[KTO],0),3),"")</f>
        <v/>
      </c>
      <c r="E19" s="10" t="str">
        <f t="array" ref="E19">IFERROR(INDEX(tblDane[],MATCH(E$5+$B19&amp;Wyświetlana_nazwa,tblDane[DATA I GODZINA]&amp;tblDane[KTO],0),3),"")</f>
        <v/>
      </c>
      <c r="F19" s="10" t="str">
        <f t="array" ref="F19">IFERROR(INDEX(tblDane[],MATCH(F$5+$B19&amp;Wyświetlana_nazwa,tblDane[DATA I GODZINA]&amp;tblDane[KTO],0),3),"")</f>
        <v/>
      </c>
      <c r="G19" s="10" t="str">
        <f t="array" ref="G19">IFERROR(INDEX(tblDane[],MATCH(G$5+$B19&amp;Wyświetlana_nazwa,tblDane[DATA I GODZINA]&amp;tblDane[KTO],0),3),"")</f>
        <v/>
      </c>
      <c r="H19" s="10" t="str">
        <f t="array" ref="H19">IFERROR(INDEX(tblDane[],MATCH(H$5+$B19&amp;Wyświetlana_nazwa,tblDane[DATA I GODZINA]&amp;tblDane[KTO],0),3),"")</f>
        <v/>
      </c>
      <c r="I19" s="10" t="str">
        <f t="array" ref="I19">IFERROR(INDEX(tblDane[],MATCH(I$5+$B19&amp;Wyświetlana_nazwa,tblDane[DATA I GODZINA]&amp;tblDane[KTO],0),3),"")</f>
        <v/>
      </c>
    </row>
    <row r="20" spans="2:9" ht="26.25" customHeight="1" x14ac:dyDescent="0.2">
      <c r="B20" s="31">
        <v>0.79166666666666696</v>
      </c>
      <c r="C20" s="10" t="str">
        <f t="array" ref="C20">IFERROR(INDEX(tblDane[],MATCH(C$5+$B20&amp;Wyświetlana_nazwa,tblDane[DATA I GODZINA]&amp;tblDane[KTO],0),3),"")</f>
        <v/>
      </c>
      <c r="D20" s="10" t="str">
        <f t="array" ref="D20">IFERROR(INDEX(tblDane[],MATCH(D$5+$B20&amp;Wyświetlana_nazwa,tblDane[DATA I GODZINA]&amp;tblDane[KTO],0),3),"")</f>
        <v/>
      </c>
      <c r="E20" s="10" t="str">
        <f t="array" ref="E20">IFERROR(INDEX(tblDane[],MATCH(E$5+$B20&amp;Wyświetlana_nazwa,tblDane[DATA I GODZINA]&amp;tblDane[KTO],0),3),"")</f>
        <v/>
      </c>
      <c r="F20" s="10" t="str">
        <f t="array" ref="F20">IFERROR(INDEX(tblDane[],MATCH(F$5+$B20&amp;Wyświetlana_nazwa,tblDane[DATA I GODZINA]&amp;tblDane[KTO],0),3),"")</f>
        <v/>
      </c>
      <c r="G20" s="10" t="str">
        <f t="array" ref="G20">IFERROR(INDEX(tblDane[],MATCH(G$5+$B20&amp;Wyświetlana_nazwa,tblDane[DATA I GODZINA]&amp;tblDane[KTO],0),3),"")</f>
        <v/>
      </c>
      <c r="H20" s="10" t="str">
        <f t="array" ref="H20">IFERROR(INDEX(tblDane[],MATCH(H$5+$B20&amp;Wyświetlana_nazwa,tblDane[DATA I GODZINA]&amp;tblDane[KTO],0),3),"")</f>
        <v/>
      </c>
      <c r="I20" s="10" t="str">
        <f t="array" ref="I20">IFERROR(INDEX(tblDane[],MATCH(I$5+$B20&amp;Wyświetlana_nazwa,tblDane[DATA I GODZINA]&amp;tblDane[KTO],0),3),"")</f>
        <v/>
      </c>
    </row>
    <row r="21" spans="2:9" ht="26.25" customHeight="1" x14ac:dyDescent="0.2">
      <c r="B21" s="31">
        <v>0.83333333333333404</v>
      </c>
      <c r="C21" s="10" t="str">
        <f t="array" ref="C21">IFERROR(INDEX(tblDane[],MATCH(C$5+$B21&amp;Wyświetlana_nazwa,tblDane[DATA I GODZINA]&amp;tblDane[KTO],0),3),"")</f>
        <v>Film z rodziną</v>
      </c>
      <c r="D21" s="10" t="str">
        <f t="array" ref="D21">IFERROR(INDEX(tblDane[],MATCH(D$5+$B21&amp;Wyświetlana_nazwa,tblDane[DATA I GODZINA]&amp;tblDane[KTO],0),3),"")</f>
        <v/>
      </c>
      <c r="E21" s="10" t="str">
        <f t="array" ref="E21">IFERROR(INDEX(tblDane[],MATCH(E$5+$B21&amp;Wyświetlana_nazwa,tblDane[DATA I GODZINA]&amp;tblDane[KTO],0),3),"")</f>
        <v/>
      </c>
      <c r="F21" s="10" t="str">
        <f t="array" ref="F21">IFERROR(INDEX(tblDane[],MATCH(F$5+$B21&amp;Wyświetlana_nazwa,tblDane[DATA I GODZINA]&amp;tblDane[KTO],0),3),"")</f>
        <v>Pokaz fajerwerków</v>
      </c>
      <c r="G21" s="10" t="str">
        <f t="array" ref="G21">IFERROR(INDEX(tblDane[],MATCH(G$5+$B21&amp;Wyświetlana_nazwa,tblDane[DATA I GODZINA]&amp;tblDane[KTO],0),3),"")</f>
        <v/>
      </c>
      <c r="H21" s="10" t="str">
        <f t="array" ref="H21">IFERROR(INDEX(tblDane[],MATCH(H$5+$B21&amp;Wyświetlana_nazwa,tblDane[DATA I GODZINA]&amp;tblDane[KTO],0),3),"")</f>
        <v/>
      </c>
      <c r="I21" s="10" t="str">
        <f t="array" ref="I21">IFERROR(INDEX(tblDane[],MATCH(I$5+$B21&amp;Wyświetlana_nazwa,tblDane[DATA I GODZINA]&amp;tblDane[KTO],0),3),"")</f>
        <v/>
      </c>
    </row>
    <row r="22" spans="2:9" ht="26.25" customHeight="1" x14ac:dyDescent="0.2">
      <c r="B22" s="31">
        <v>0.875</v>
      </c>
      <c r="C22" s="10" t="str">
        <f t="array" ref="C22">IFERROR(INDEX(tblDane[],MATCH(C$5+$B22&amp;Wyświetlana_nazwa,tblDane[DATA I GODZINA]&amp;tblDane[KTO],0),3),"")</f>
        <v/>
      </c>
      <c r="D22" s="10" t="str">
        <f t="array" ref="D22">IFERROR(INDEX(tblDane[],MATCH(D$5+$B22&amp;Wyświetlana_nazwa,tblDane[DATA I GODZINA]&amp;tblDane[KTO],0),3),"")</f>
        <v/>
      </c>
      <c r="E22" s="10" t="str">
        <f t="array" ref="E22">IFERROR(INDEX(tblDane[],MATCH(E$5+$B22&amp;Wyświetlana_nazwa,tblDane[DATA I GODZINA]&amp;tblDane[KTO],0),3),"")</f>
        <v/>
      </c>
      <c r="F22" s="10" t="str">
        <f t="array" ref="F22">IFERROR(INDEX(tblDane[],MATCH(F$5+$B22&amp;Wyświetlana_nazwa,tblDane[DATA I GODZINA]&amp;tblDane[KTO],0),3),"")</f>
        <v/>
      </c>
      <c r="G22" s="10" t="str">
        <f t="array" ref="G22">IFERROR(INDEX(tblDane[],MATCH(G$5+$B22&amp;Wyświetlana_nazwa,tblDane[DATA I GODZINA]&amp;tblDane[KTO],0),3),"")</f>
        <v/>
      </c>
      <c r="H22" s="10" t="str">
        <f t="array" ref="H22">IFERROR(INDEX(tblDane[],MATCH(H$5+$B22&amp;Wyświetlana_nazwa,tblDane[DATA I GODZINA]&amp;tblDane[KTO],0),3),"")</f>
        <v/>
      </c>
      <c r="I22" s="10" t="str">
        <f t="array" ref="I22">IFERROR(INDEX(tblDane[],MATCH(I$5+$B22&amp;Wyświetlana_nazwa,tblDane[DATA I GODZINA]&amp;tblDane[KTO],0),3),"")</f>
        <v/>
      </c>
    </row>
    <row r="23" spans="2:9" ht="26.25" customHeight="1" x14ac:dyDescent="0.2">
      <c r="B23" s="31">
        <v>0.91666666666666696</v>
      </c>
      <c r="C23" s="10" t="str">
        <f t="array" ref="C23">IFERROR(INDEX(tblDane[],MATCH(C$5+$B23&amp;Wyświetlana_nazwa,tblDane[DATA I GODZINA]&amp;tblDane[KTO],0),3),"")</f>
        <v/>
      </c>
      <c r="D23" s="10" t="str">
        <f t="array" ref="D23">IFERROR(INDEX(tblDane[],MATCH(D$5+$B23&amp;Wyświetlana_nazwa,tblDane[DATA I GODZINA]&amp;tblDane[KTO],0),3),"")</f>
        <v/>
      </c>
      <c r="E23" s="10" t="str">
        <f t="array" ref="E23">IFERROR(INDEX(tblDane[],MATCH(E$5+$B23&amp;Wyświetlana_nazwa,tblDane[DATA I GODZINA]&amp;tblDane[KTO],0),3),"")</f>
        <v/>
      </c>
      <c r="F23" s="10" t="str">
        <f t="array" ref="F23">IFERROR(INDEX(tblDane[],MATCH(F$5+$B23&amp;Wyświetlana_nazwa,tblDane[DATA I GODZINA]&amp;tblDane[KTO],0),3),"")</f>
        <v/>
      </c>
      <c r="G23" s="10" t="str">
        <f t="array" ref="G23">IFERROR(INDEX(tblDane[],MATCH(G$5+$B23&amp;Wyświetlana_nazwa,tblDane[DATA I GODZINA]&amp;tblDane[KTO],0),3),"")</f>
        <v/>
      </c>
      <c r="H23" s="10" t="str">
        <f t="array" ref="H23">IFERROR(INDEX(tblDane[],MATCH(H$5+$B23&amp;Wyświetlana_nazwa,tblDane[DATA I GODZINA]&amp;tblDane[KTO],0),3),"")</f>
        <v/>
      </c>
      <c r="I23" s="10" t="str">
        <f t="array" ref="I23">IFERROR(INDEX(tblDane[],MATCH(I$5+$B23&amp;Wyświetlana_nazwa,tblDane[DATA I GODZINA]&amp;tblDane[KTO],0),3),"")</f>
        <v/>
      </c>
    </row>
  </sheetData>
  <mergeCells count="1">
    <mergeCell ref="B2:D3"/>
  </mergeCells>
  <conditionalFormatting sqref="C7:C23">
    <cfRule type="expression" dxfId="21" priority="7">
      <formula>LEN(C7)&gt;0</formula>
    </cfRule>
  </conditionalFormatting>
  <conditionalFormatting sqref="D7:D23">
    <cfRule type="expression" dxfId="20" priority="6">
      <formula>LEN(D7)&gt;0</formula>
    </cfRule>
  </conditionalFormatting>
  <conditionalFormatting sqref="E7:E23">
    <cfRule type="expression" dxfId="19" priority="5">
      <formula>LEN(E7)&gt;0</formula>
    </cfRule>
  </conditionalFormatting>
  <conditionalFormatting sqref="F7:F23">
    <cfRule type="expression" dxfId="18" priority="4">
      <formula>LEN(F7)&gt;0</formula>
    </cfRule>
  </conditionalFormatting>
  <conditionalFormatting sqref="G7:G23">
    <cfRule type="expression" dxfId="17" priority="3">
      <formula>LEN(G7)&gt;0</formula>
    </cfRule>
  </conditionalFormatting>
  <conditionalFormatting sqref="H7:H23">
    <cfRule type="expression" dxfId="16" priority="2">
      <formula>LEN(H7)&gt;0</formula>
    </cfRule>
  </conditionalFormatting>
  <conditionalFormatting sqref="I7:I23">
    <cfRule type="expression" dxfId="15" priority="1">
      <formula>LEN(I7)&gt;0</formula>
    </cfRule>
  </conditionalFormatting>
  <dataValidations count="1">
    <dataValidation type="list" allowBlank="1" showInputMessage="1" sqref="H3">
      <formula1>Wyszukiwanie_Kto</formula1>
    </dataValidation>
  </dataValidations>
  <printOptions horizontalCentered="1" verticalCentered="1"/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D14"/>
  <sheetViews>
    <sheetView showGridLines="0" workbookViewId="0"/>
  </sheetViews>
  <sheetFormatPr defaultRowHeight="26.25" customHeight="1" x14ac:dyDescent="0.2"/>
  <cols>
    <col min="1" max="1" width="1.7109375" customWidth="1"/>
    <col min="2" max="2" width="26" customWidth="1"/>
    <col min="3" max="3" width="32.42578125" customWidth="1"/>
    <col min="4" max="4" width="37.28515625" customWidth="1"/>
  </cols>
  <sheetData>
    <row r="1" spans="2:4" ht="42.75" customHeight="1" x14ac:dyDescent="0.45">
      <c r="B1" s="9" t="s">
        <v>11</v>
      </c>
    </row>
    <row r="2" spans="2:4" ht="10.5" customHeight="1" x14ac:dyDescent="0.2"/>
    <row r="3" spans="2:4" ht="26.25" customHeight="1" x14ac:dyDescent="0.35">
      <c r="B3" s="6" t="s">
        <v>12</v>
      </c>
      <c r="C3" s="7" t="s">
        <v>10</v>
      </c>
      <c r="D3" s="12" t="s">
        <v>9</v>
      </c>
    </row>
    <row r="4" spans="2:4" s="5" customFormat="1" ht="26.25" customHeight="1" x14ac:dyDescent="0.2">
      <c r="B4" s="32">
        <v>41092.333333333336</v>
      </c>
      <c r="C4" s="8" t="s">
        <v>25</v>
      </c>
      <c r="D4" s="8" t="s">
        <v>16</v>
      </c>
    </row>
    <row r="5" spans="2:4" s="5" customFormat="1" ht="26.25" customHeight="1" x14ac:dyDescent="0.2">
      <c r="B5" s="32">
        <v>41092.75</v>
      </c>
      <c r="C5" s="8" t="s">
        <v>24</v>
      </c>
      <c r="D5" s="8" t="s">
        <v>15</v>
      </c>
    </row>
    <row r="6" spans="2:4" s="5" customFormat="1" ht="26.25" customHeight="1" x14ac:dyDescent="0.2">
      <c r="B6" s="32">
        <v>41092.770833333336</v>
      </c>
      <c r="C6" s="8" t="s">
        <v>24</v>
      </c>
      <c r="D6" s="8" t="s">
        <v>17</v>
      </c>
    </row>
    <row r="7" spans="2:4" s="5" customFormat="1" ht="26.25" customHeight="1" x14ac:dyDescent="0.2">
      <c r="B7" s="32">
        <v>41092.833333333336</v>
      </c>
      <c r="C7" s="8" t="s">
        <v>24</v>
      </c>
      <c r="D7" s="8" t="s">
        <v>18</v>
      </c>
    </row>
    <row r="8" spans="2:4" s="5" customFormat="1" ht="26.25" customHeight="1" x14ac:dyDescent="0.2">
      <c r="B8" s="32">
        <v>41093.666666666664</v>
      </c>
      <c r="C8" s="8" t="s">
        <v>24</v>
      </c>
      <c r="D8" s="8" t="s">
        <v>20</v>
      </c>
    </row>
    <row r="9" spans="2:4" s="5" customFormat="1" ht="26.25" customHeight="1" x14ac:dyDescent="0.2">
      <c r="B9" s="32">
        <v>41094.416666666664</v>
      </c>
      <c r="C9" s="8" t="s">
        <v>24</v>
      </c>
      <c r="D9" s="8" t="s">
        <v>19</v>
      </c>
    </row>
    <row r="10" spans="2:4" s="5" customFormat="1" ht="26.25" customHeight="1" x14ac:dyDescent="0.2">
      <c r="B10" s="32">
        <v>41095.833333333336</v>
      </c>
      <c r="C10" s="8" t="s">
        <v>24</v>
      </c>
      <c r="D10" s="8" t="s">
        <v>27</v>
      </c>
    </row>
    <row r="11" spans="2:4" s="5" customFormat="1" ht="26.25" customHeight="1" x14ac:dyDescent="0.2">
      <c r="B11" s="32">
        <v>41096.458333333336</v>
      </c>
      <c r="C11" s="8" t="s">
        <v>24</v>
      </c>
      <c r="D11" s="8" t="s">
        <v>22</v>
      </c>
    </row>
    <row r="12" spans="2:4" s="5" customFormat="1" ht="26.25" customHeight="1" x14ac:dyDescent="0.2">
      <c r="B12" s="32">
        <v>41097</v>
      </c>
      <c r="C12" s="8" t="s">
        <v>24</v>
      </c>
      <c r="D12" s="8" t="s">
        <v>23</v>
      </c>
    </row>
    <row r="13" spans="2:4" s="5" customFormat="1" ht="26.25" customHeight="1" x14ac:dyDescent="0.2">
      <c r="B13" s="32">
        <v>41098.708333333336</v>
      </c>
      <c r="C13" s="8" t="s">
        <v>24</v>
      </c>
      <c r="D13" s="8" t="s">
        <v>21</v>
      </c>
    </row>
    <row r="14" spans="2:4" ht="26.25" customHeight="1" x14ac:dyDescent="0.2">
      <c r="B14" s="33">
        <v>41092.416666666664</v>
      </c>
      <c r="C14" s="16" t="s">
        <v>25</v>
      </c>
      <c r="D14" s="17" t="s">
        <v>26</v>
      </c>
    </row>
  </sheetData>
  <printOptions horizontalCentered="1"/>
  <pageMargins left="0.7" right="0.7" top="0.75" bottom="0.75" header="0.3" footer="0.3"/>
  <pageSetup paperSize="9" fitToHeight="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C132"/>
  <sheetViews>
    <sheetView showGridLines="0" workbookViewId="0">
      <selection sqref="A1:B1"/>
    </sheetView>
  </sheetViews>
  <sheetFormatPr defaultRowHeight="26.25" customHeight="1" x14ac:dyDescent="0.2"/>
  <cols>
    <col min="1" max="1" width="29.85546875" style="27" customWidth="1"/>
    <col min="2" max="2" width="22.42578125" style="26" customWidth="1"/>
  </cols>
  <sheetData>
    <row r="1" spans="1:3" ht="48" customHeight="1" x14ac:dyDescent="0.2">
      <c r="A1" s="35" t="s">
        <v>30</v>
      </c>
      <c r="B1" s="35"/>
      <c r="C1" s="30"/>
    </row>
    <row r="2" spans="1:3" ht="26.25" customHeight="1" x14ac:dyDescent="0.35">
      <c r="A2" s="28" t="s">
        <v>28</v>
      </c>
      <c r="B2" s="29" t="s">
        <v>29</v>
      </c>
    </row>
    <row r="3" spans="1:3" ht="26.25" customHeight="1" x14ac:dyDescent="0.2">
      <c r="A3" s="27" t="str">
        <f t="array" ref="A3">IFERROR(INDEX(Pole_Kto,MATCH(0,COUNTIF($A$2:A2,Pole_Kto),0)),"")</f>
        <v>Anna</v>
      </c>
      <c r="B3" s="26">
        <f>IF(A3="","",ROW())</f>
        <v>3</v>
      </c>
    </row>
    <row r="4" spans="1:3" ht="26.25" customHeight="1" x14ac:dyDescent="0.2">
      <c r="A4" s="27" t="str">
        <f t="array" ref="A4">IFERROR(INDEX(Pole_Kto,MATCH(0,COUNTIF($A$2:A3,Pole_Kto),0)),"")</f>
        <v>Tomasz</v>
      </c>
      <c r="B4" s="26">
        <f t="shared" ref="B4:B67" si="0">IF(A4="","",ROW())</f>
        <v>4</v>
      </c>
    </row>
    <row r="5" spans="1:3" ht="26.25" customHeight="1" x14ac:dyDescent="0.2">
      <c r="A5" s="27" t="str">
        <f t="array" ref="A5">IFERROR(INDEX(Pole_Kto,MATCH(0,COUNTIF($A$2:A4,Pole_Kto),0)),"")</f>
        <v/>
      </c>
      <c r="B5" s="26" t="str">
        <f t="shared" si="0"/>
        <v/>
      </c>
    </row>
    <row r="6" spans="1:3" ht="26.25" customHeight="1" x14ac:dyDescent="0.2">
      <c r="A6" s="27" t="str">
        <f t="array" ref="A6">IFERROR(INDEX(Pole_Kto,MATCH(0,COUNTIF($A$2:A5,Pole_Kto),0)),"")</f>
        <v/>
      </c>
      <c r="B6" s="26" t="str">
        <f t="shared" si="0"/>
        <v/>
      </c>
    </row>
    <row r="7" spans="1:3" ht="26.25" customHeight="1" x14ac:dyDescent="0.2">
      <c r="A7" s="27" t="str">
        <f t="array" ref="A7">IFERROR(INDEX(Pole_Kto,MATCH(0,COUNTIF($A$2:A6,Pole_Kto),0)),"")</f>
        <v/>
      </c>
      <c r="B7" s="26" t="str">
        <f t="shared" si="0"/>
        <v/>
      </c>
    </row>
    <row r="8" spans="1:3" ht="26.25" customHeight="1" x14ac:dyDescent="0.2">
      <c r="A8" s="27" t="str">
        <f t="array" ref="A8">IFERROR(INDEX(Pole_Kto,MATCH(0,COUNTIF($A$2:A7,Pole_Kto),0)),"")</f>
        <v/>
      </c>
      <c r="B8" s="26" t="str">
        <f t="shared" si="0"/>
        <v/>
      </c>
    </row>
    <row r="9" spans="1:3" ht="26.25" customHeight="1" x14ac:dyDescent="0.2">
      <c r="A9" s="27" t="str">
        <f t="array" ref="A9">IFERROR(INDEX(Pole_Kto,MATCH(0,COUNTIF($A$2:A8,Pole_Kto),0)),"")</f>
        <v/>
      </c>
      <c r="B9" s="26" t="str">
        <f t="shared" si="0"/>
        <v/>
      </c>
    </row>
    <row r="10" spans="1:3" ht="26.25" customHeight="1" x14ac:dyDescent="0.2">
      <c r="A10" s="27" t="str">
        <f t="array" ref="A10">IFERROR(INDEX(Pole_Kto,MATCH(0,COUNTIF($A$2:A9,Pole_Kto),0)),"")</f>
        <v/>
      </c>
      <c r="B10" s="26" t="str">
        <f t="shared" si="0"/>
        <v/>
      </c>
    </row>
    <row r="11" spans="1:3" ht="26.25" customHeight="1" x14ac:dyDescent="0.2">
      <c r="A11" s="27" t="str">
        <f t="array" ref="A11">IFERROR(INDEX(Pole_Kto,MATCH(0,COUNTIF($A$2:A10,Pole_Kto),0)),"")</f>
        <v/>
      </c>
      <c r="B11" s="26" t="str">
        <f t="shared" si="0"/>
        <v/>
      </c>
    </row>
    <row r="12" spans="1:3" ht="26.25" customHeight="1" x14ac:dyDescent="0.2">
      <c r="A12" s="27" t="str">
        <f t="array" ref="A12">IFERROR(INDEX(Pole_Kto,MATCH(0,COUNTIF($A$2:A11,Pole_Kto),0)),"")</f>
        <v/>
      </c>
      <c r="B12" s="26" t="str">
        <f t="shared" si="0"/>
        <v/>
      </c>
    </row>
    <row r="13" spans="1:3" ht="26.25" customHeight="1" x14ac:dyDescent="0.2">
      <c r="A13" s="27" t="str">
        <f t="array" ref="A13">IFERROR(INDEX(Pole_Kto,MATCH(0,COUNTIF($A$2:A12,Pole_Kto),0)),"")</f>
        <v/>
      </c>
      <c r="B13" s="26" t="str">
        <f t="shared" si="0"/>
        <v/>
      </c>
    </row>
    <row r="14" spans="1:3" ht="26.25" customHeight="1" x14ac:dyDescent="0.2">
      <c r="A14" s="27" t="str">
        <f t="array" ref="A14">IFERROR(INDEX(Pole_Kto,MATCH(0,COUNTIF($A$2:A13,Pole_Kto),0)),"")</f>
        <v/>
      </c>
      <c r="B14" s="26" t="str">
        <f t="shared" si="0"/>
        <v/>
      </c>
    </row>
    <row r="15" spans="1:3" ht="26.25" customHeight="1" x14ac:dyDescent="0.2">
      <c r="A15" s="27" t="str">
        <f t="array" ref="A15">IFERROR(INDEX(Pole_Kto,MATCH(0,COUNTIF($A$2:A14,Pole_Kto),0)),"")</f>
        <v/>
      </c>
      <c r="B15" s="26" t="str">
        <f t="shared" si="0"/>
        <v/>
      </c>
    </row>
    <row r="16" spans="1:3" ht="26.25" customHeight="1" x14ac:dyDescent="0.2">
      <c r="A16" s="27" t="str">
        <f t="array" ref="A16">IFERROR(INDEX(Pole_Kto,MATCH(0,COUNTIF($A$2:A15,Pole_Kto),0)),"")</f>
        <v/>
      </c>
      <c r="B16" s="26" t="str">
        <f t="shared" si="0"/>
        <v/>
      </c>
    </row>
    <row r="17" spans="1:2" ht="26.25" customHeight="1" x14ac:dyDescent="0.2">
      <c r="A17" s="27" t="str">
        <f t="array" ref="A17">IFERROR(INDEX(Pole_Kto,MATCH(0,COUNTIF($A$2:A16,Pole_Kto),0)),"")</f>
        <v/>
      </c>
      <c r="B17" s="26" t="str">
        <f t="shared" si="0"/>
        <v/>
      </c>
    </row>
    <row r="18" spans="1:2" ht="26.25" customHeight="1" x14ac:dyDescent="0.2">
      <c r="A18" s="27" t="str">
        <f t="array" ref="A18">IFERROR(INDEX(Pole_Kto,MATCH(0,COUNTIF($A$2:A17,Pole_Kto),0)),"")</f>
        <v/>
      </c>
      <c r="B18" s="26" t="str">
        <f t="shared" si="0"/>
        <v/>
      </c>
    </row>
    <row r="19" spans="1:2" ht="26.25" customHeight="1" x14ac:dyDescent="0.2">
      <c r="A19" s="27" t="str">
        <f t="array" ref="A19">IFERROR(INDEX(Pole_Kto,MATCH(0,COUNTIF($A$2:A18,Pole_Kto),0)),"")</f>
        <v/>
      </c>
      <c r="B19" s="26" t="str">
        <f t="shared" si="0"/>
        <v/>
      </c>
    </row>
    <row r="20" spans="1:2" ht="26.25" customHeight="1" x14ac:dyDescent="0.2">
      <c r="A20" s="27" t="str">
        <f t="array" ref="A20">IFERROR(INDEX(Pole_Kto,MATCH(0,COUNTIF($A$2:A19,Pole_Kto),0)),"")</f>
        <v/>
      </c>
      <c r="B20" s="26" t="str">
        <f t="shared" si="0"/>
        <v/>
      </c>
    </row>
    <row r="21" spans="1:2" ht="26.25" customHeight="1" x14ac:dyDescent="0.2">
      <c r="A21" s="27" t="str">
        <f t="array" ref="A21">IFERROR(INDEX(Pole_Kto,MATCH(0,COUNTIF($A$2:A20,Pole_Kto),0)),"")</f>
        <v/>
      </c>
      <c r="B21" s="26" t="str">
        <f t="shared" si="0"/>
        <v/>
      </c>
    </row>
    <row r="22" spans="1:2" ht="26.25" customHeight="1" x14ac:dyDescent="0.2">
      <c r="A22" s="27" t="str">
        <f t="array" ref="A22">IFERROR(INDEX(Pole_Kto,MATCH(0,COUNTIF($A$2:A21,Pole_Kto),0)),"")</f>
        <v/>
      </c>
      <c r="B22" s="26" t="str">
        <f t="shared" si="0"/>
        <v/>
      </c>
    </row>
    <row r="23" spans="1:2" ht="26.25" customHeight="1" x14ac:dyDescent="0.2">
      <c r="A23" s="27" t="str">
        <f t="array" ref="A23">IFERROR(INDEX(Pole_Kto,MATCH(0,COUNTIF($A$2:A22,Pole_Kto),0)),"")</f>
        <v/>
      </c>
      <c r="B23" s="26" t="str">
        <f t="shared" si="0"/>
        <v/>
      </c>
    </row>
    <row r="24" spans="1:2" ht="26.25" customHeight="1" x14ac:dyDescent="0.2">
      <c r="A24" s="27" t="str">
        <f t="array" ref="A24">IFERROR(INDEX(Pole_Kto,MATCH(0,COUNTIF($A$2:A23,Pole_Kto),0)),"")</f>
        <v/>
      </c>
      <c r="B24" s="26" t="str">
        <f t="shared" si="0"/>
        <v/>
      </c>
    </row>
    <row r="25" spans="1:2" ht="26.25" customHeight="1" x14ac:dyDescent="0.2">
      <c r="A25" s="27" t="str">
        <f t="array" ref="A25">IFERROR(INDEX(Pole_Kto,MATCH(0,COUNTIF($A$2:A24,Pole_Kto),0)),"")</f>
        <v/>
      </c>
      <c r="B25" s="26" t="str">
        <f t="shared" si="0"/>
        <v/>
      </c>
    </row>
    <row r="26" spans="1:2" ht="26.25" customHeight="1" x14ac:dyDescent="0.2">
      <c r="A26" s="27" t="str">
        <f t="array" ref="A26">IFERROR(INDEX(Pole_Kto,MATCH(0,COUNTIF($A$2:A25,Pole_Kto),0)),"")</f>
        <v/>
      </c>
      <c r="B26" s="26" t="str">
        <f t="shared" si="0"/>
        <v/>
      </c>
    </row>
    <row r="27" spans="1:2" ht="26.25" customHeight="1" x14ac:dyDescent="0.2">
      <c r="A27" s="27" t="str">
        <f t="array" ref="A27">IFERROR(INDEX(Pole_Kto,MATCH(0,COUNTIF($A$2:A26,Pole_Kto),0)),"")</f>
        <v/>
      </c>
      <c r="B27" s="26" t="str">
        <f t="shared" si="0"/>
        <v/>
      </c>
    </row>
    <row r="28" spans="1:2" ht="26.25" customHeight="1" x14ac:dyDescent="0.2">
      <c r="A28" s="27" t="str">
        <f t="array" ref="A28">IFERROR(INDEX(Pole_Kto,MATCH(0,COUNTIF($A$2:A27,Pole_Kto),0)),"")</f>
        <v/>
      </c>
      <c r="B28" s="26" t="str">
        <f t="shared" si="0"/>
        <v/>
      </c>
    </row>
    <row r="29" spans="1:2" ht="26.25" customHeight="1" x14ac:dyDescent="0.2">
      <c r="A29" s="27" t="str">
        <f t="array" ref="A29">IFERROR(INDEX(Pole_Kto,MATCH(0,COUNTIF($A$2:A28,Pole_Kto),0)),"")</f>
        <v/>
      </c>
      <c r="B29" s="26" t="str">
        <f t="shared" si="0"/>
        <v/>
      </c>
    </row>
    <row r="30" spans="1:2" ht="26.25" customHeight="1" x14ac:dyDescent="0.2">
      <c r="A30" s="27" t="str">
        <f t="array" ref="A30">IFERROR(INDEX(Pole_Kto,MATCH(0,COUNTIF($A$2:A29,Pole_Kto),0)),"")</f>
        <v/>
      </c>
      <c r="B30" s="26" t="str">
        <f t="shared" si="0"/>
        <v/>
      </c>
    </row>
    <row r="31" spans="1:2" ht="26.25" customHeight="1" x14ac:dyDescent="0.2">
      <c r="A31" s="27" t="str">
        <f t="array" ref="A31">IFERROR(INDEX(Pole_Kto,MATCH(0,COUNTIF($A$2:A30,Pole_Kto),0)),"")</f>
        <v/>
      </c>
      <c r="B31" s="26" t="str">
        <f t="shared" si="0"/>
        <v/>
      </c>
    </row>
    <row r="32" spans="1:2" ht="26.25" customHeight="1" x14ac:dyDescent="0.2">
      <c r="A32" s="27" t="str">
        <f t="array" ref="A32">IFERROR(INDEX(Pole_Kto,MATCH(0,COUNTIF($A$2:A31,Pole_Kto),0)),"")</f>
        <v/>
      </c>
      <c r="B32" s="26" t="str">
        <f t="shared" si="0"/>
        <v/>
      </c>
    </row>
    <row r="33" spans="1:2" ht="26.25" customHeight="1" x14ac:dyDescent="0.2">
      <c r="A33" s="27" t="str">
        <f t="array" ref="A33">IFERROR(INDEX(Pole_Kto,MATCH(0,COUNTIF($A$2:A32,Pole_Kto),0)),"")</f>
        <v/>
      </c>
      <c r="B33" s="26" t="str">
        <f t="shared" si="0"/>
        <v/>
      </c>
    </row>
    <row r="34" spans="1:2" ht="26.25" customHeight="1" x14ac:dyDescent="0.2">
      <c r="A34" s="27" t="str">
        <f t="array" ref="A34">IFERROR(INDEX(Pole_Kto,MATCH(0,COUNTIF($A$2:A33,Pole_Kto),0)),"")</f>
        <v/>
      </c>
      <c r="B34" s="26" t="str">
        <f t="shared" si="0"/>
        <v/>
      </c>
    </row>
    <row r="35" spans="1:2" ht="26.25" customHeight="1" x14ac:dyDescent="0.2">
      <c r="A35" s="27" t="str">
        <f t="array" ref="A35">IFERROR(INDEX(Pole_Kto,MATCH(0,COUNTIF($A$2:A34,Pole_Kto),0)),"")</f>
        <v/>
      </c>
      <c r="B35" s="26" t="str">
        <f t="shared" si="0"/>
        <v/>
      </c>
    </row>
    <row r="36" spans="1:2" ht="26.25" customHeight="1" x14ac:dyDescent="0.2">
      <c r="A36" s="27" t="str">
        <f t="array" ref="A36">IFERROR(INDEX(Pole_Kto,MATCH(0,COUNTIF($A$2:A35,Pole_Kto),0)),"")</f>
        <v/>
      </c>
      <c r="B36" s="26" t="str">
        <f t="shared" si="0"/>
        <v/>
      </c>
    </row>
    <row r="37" spans="1:2" ht="26.25" customHeight="1" x14ac:dyDescent="0.2">
      <c r="A37" s="27" t="str">
        <f t="array" ref="A37">IFERROR(INDEX(Pole_Kto,MATCH(0,COUNTIF($A$2:A36,Pole_Kto),0)),"")</f>
        <v/>
      </c>
      <c r="B37" s="26" t="str">
        <f t="shared" si="0"/>
        <v/>
      </c>
    </row>
    <row r="38" spans="1:2" ht="26.25" customHeight="1" x14ac:dyDescent="0.2">
      <c r="A38" s="27" t="str">
        <f t="array" ref="A38">IFERROR(INDEX(Pole_Kto,MATCH(0,COUNTIF($A$2:A37,Pole_Kto),0)),"")</f>
        <v/>
      </c>
      <c r="B38" s="26" t="str">
        <f t="shared" si="0"/>
        <v/>
      </c>
    </row>
    <row r="39" spans="1:2" ht="26.25" customHeight="1" x14ac:dyDescent="0.2">
      <c r="A39" s="27" t="str">
        <f t="array" ref="A39">IFERROR(INDEX(Pole_Kto,MATCH(0,COUNTIF($A$2:A38,Pole_Kto),0)),"")</f>
        <v/>
      </c>
      <c r="B39" s="26" t="str">
        <f t="shared" si="0"/>
        <v/>
      </c>
    </row>
    <row r="40" spans="1:2" ht="26.25" customHeight="1" x14ac:dyDescent="0.2">
      <c r="A40" s="27" t="str">
        <f t="array" ref="A40">IFERROR(INDEX(Pole_Kto,MATCH(0,COUNTIF($A$2:A39,Pole_Kto),0)),"")</f>
        <v/>
      </c>
      <c r="B40" s="26" t="str">
        <f t="shared" si="0"/>
        <v/>
      </c>
    </row>
    <row r="41" spans="1:2" ht="26.25" customHeight="1" x14ac:dyDescent="0.2">
      <c r="A41" s="27" t="str">
        <f t="array" ref="A41">IFERROR(INDEX(Pole_Kto,MATCH(0,COUNTIF($A$2:A40,Pole_Kto),0)),"")</f>
        <v/>
      </c>
      <c r="B41" s="26" t="str">
        <f t="shared" si="0"/>
        <v/>
      </c>
    </row>
    <row r="42" spans="1:2" ht="26.25" customHeight="1" x14ac:dyDescent="0.2">
      <c r="A42" s="27" t="str">
        <f t="array" ref="A42">IFERROR(INDEX(Pole_Kto,MATCH(0,COUNTIF($A$2:A41,Pole_Kto),0)),"")</f>
        <v/>
      </c>
      <c r="B42" s="26" t="str">
        <f t="shared" si="0"/>
        <v/>
      </c>
    </row>
    <row r="43" spans="1:2" ht="26.25" customHeight="1" x14ac:dyDescent="0.2">
      <c r="A43" s="27" t="str">
        <f t="array" ref="A43">IFERROR(INDEX(Pole_Kto,MATCH(0,COUNTIF($A$2:A42,Pole_Kto),0)),"")</f>
        <v/>
      </c>
      <c r="B43" s="26" t="str">
        <f t="shared" si="0"/>
        <v/>
      </c>
    </row>
    <row r="44" spans="1:2" ht="26.25" customHeight="1" x14ac:dyDescent="0.2">
      <c r="A44" s="27" t="str">
        <f t="array" ref="A44">IFERROR(INDEX(Pole_Kto,MATCH(0,COUNTIF($A$2:A43,Pole_Kto),0)),"")</f>
        <v/>
      </c>
      <c r="B44" s="26" t="str">
        <f t="shared" si="0"/>
        <v/>
      </c>
    </row>
    <row r="45" spans="1:2" ht="26.25" customHeight="1" x14ac:dyDescent="0.2">
      <c r="A45" s="27" t="str">
        <f t="array" ref="A45">IFERROR(INDEX(Pole_Kto,MATCH(0,COUNTIF($A$2:A44,Pole_Kto),0)),"")</f>
        <v/>
      </c>
      <c r="B45" s="26" t="str">
        <f t="shared" si="0"/>
        <v/>
      </c>
    </row>
    <row r="46" spans="1:2" ht="26.25" customHeight="1" x14ac:dyDescent="0.2">
      <c r="A46" s="27" t="str">
        <f t="array" ref="A46">IFERROR(INDEX(Pole_Kto,MATCH(0,COUNTIF($A$2:A45,Pole_Kto),0)),"")</f>
        <v/>
      </c>
      <c r="B46" s="26" t="str">
        <f t="shared" si="0"/>
        <v/>
      </c>
    </row>
    <row r="47" spans="1:2" ht="26.25" customHeight="1" x14ac:dyDescent="0.2">
      <c r="A47" s="27" t="str">
        <f t="array" ref="A47">IFERROR(INDEX(Pole_Kto,MATCH(0,COUNTIF($A$2:A46,Pole_Kto),0)),"")</f>
        <v/>
      </c>
      <c r="B47" s="26" t="str">
        <f t="shared" si="0"/>
        <v/>
      </c>
    </row>
    <row r="48" spans="1:2" ht="26.25" customHeight="1" x14ac:dyDescent="0.2">
      <c r="A48" s="27" t="str">
        <f t="array" ref="A48">IFERROR(INDEX(Pole_Kto,MATCH(0,COUNTIF($A$2:A47,Pole_Kto),0)),"")</f>
        <v/>
      </c>
      <c r="B48" s="26" t="str">
        <f t="shared" si="0"/>
        <v/>
      </c>
    </row>
    <row r="49" spans="1:2" ht="26.25" customHeight="1" x14ac:dyDescent="0.2">
      <c r="A49" s="27" t="str">
        <f t="array" ref="A49">IFERROR(INDEX(Pole_Kto,MATCH(0,COUNTIF($A$2:A48,Pole_Kto),0)),"")</f>
        <v/>
      </c>
      <c r="B49" s="26" t="str">
        <f t="shared" si="0"/>
        <v/>
      </c>
    </row>
    <row r="50" spans="1:2" ht="26.25" customHeight="1" x14ac:dyDescent="0.2">
      <c r="A50" s="27" t="str">
        <f t="array" ref="A50">IFERROR(INDEX(Pole_Kto,MATCH(0,COUNTIF($A$2:A49,Pole_Kto),0)),"")</f>
        <v/>
      </c>
      <c r="B50" s="26" t="str">
        <f t="shared" si="0"/>
        <v/>
      </c>
    </row>
    <row r="51" spans="1:2" ht="26.25" customHeight="1" x14ac:dyDescent="0.2">
      <c r="A51" s="27" t="str">
        <f t="array" ref="A51">IFERROR(INDEX(Pole_Kto,MATCH(0,COUNTIF($A$2:A50,Pole_Kto),0)),"")</f>
        <v/>
      </c>
      <c r="B51" s="26" t="str">
        <f t="shared" si="0"/>
        <v/>
      </c>
    </row>
    <row r="52" spans="1:2" ht="26.25" customHeight="1" x14ac:dyDescent="0.2">
      <c r="A52" s="27" t="str">
        <f t="array" ref="A52">IFERROR(INDEX(Pole_Kto,MATCH(0,COUNTIF($A$2:A51,Pole_Kto),0)),"")</f>
        <v/>
      </c>
      <c r="B52" s="26" t="str">
        <f t="shared" si="0"/>
        <v/>
      </c>
    </row>
    <row r="53" spans="1:2" ht="26.25" customHeight="1" x14ac:dyDescent="0.2">
      <c r="A53" s="27" t="str">
        <f t="array" ref="A53">IFERROR(INDEX(Pole_Kto,MATCH(0,COUNTIF($A$2:A52,Pole_Kto),0)),"")</f>
        <v/>
      </c>
      <c r="B53" s="26" t="str">
        <f t="shared" si="0"/>
        <v/>
      </c>
    </row>
    <row r="54" spans="1:2" ht="26.25" customHeight="1" x14ac:dyDescent="0.2">
      <c r="A54" s="27" t="str">
        <f t="array" ref="A54">IFERROR(INDEX(Pole_Kto,MATCH(0,COUNTIF($A$2:A53,Pole_Kto),0)),"")</f>
        <v/>
      </c>
      <c r="B54" s="26" t="str">
        <f t="shared" si="0"/>
        <v/>
      </c>
    </row>
    <row r="55" spans="1:2" ht="26.25" customHeight="1" x14ac:dyDescent="0.2">
      <c r="A55" s="27" t="str">
        <f t="array" ref="A55">IFERROR(INDEX(Pole_Kto,MATCH(0,COUNTIF($A$2:A54,Pole_Kto),0)),"")</f>
        <v/>
      </c>
      <c r="B55" s="26" t="str">
        <f t="shared" si="0"/>
        <v/>
      </c>
    </row>
    <row r="56" spans="1:2" ht="26.25" customHeight="1" x14ac:dyDescent="0.2">
      <c r="A56" s="27" t="str">
        <f t="array" ref="A56">IFERROR(INDEX(Pole_Kto,MATCH(0,COUNTIF($A$2:A55,Pole_Kto),0)),"")</f>
        <v/>
      </c>
      <c r="B56" s="26" t="str">
        <f t="shared" si="0"/>
        <v/>
      </c>
    </row>
    <row r="57" spans="1:2" ht="26.25" customHeight="1" x14ac:dyDescent="0.2">
      <c r="A57" s="27" t="str">
        <f t="array" ref="A57">IFERROR(INDEX(Pole_Kto,MATCH(0,COUNTIF($A$2:A56,Pole_Kto),0)),"")</f>
        <v/>
      </c>
      <c r="B57" s="26" t="str">
        <f t="shared" si="0"/>
        <v/>
      </c>
    </row>
    <row r="58" spans="1:2" ht="26.25" customHeight="1" x14ac:dyDescent="0.2">
      <c r="A58" s="27" t="str">
        <f t="array" ref="A58">IFERROR(INDEX(Pole_Kto,MATCH(0,COUNTIF($A$2:A57,Pole_Kto),0)),"")</f>
        <v/>
      </c>
      <c r="B58" s="26" t="str">
        <f t="shared" si="0"/>
        <v/>
      </c>
    </row>
    <row r="59" spans="1:2" ht="26.25" customHeight="1" x14ac:dyDescent="0.2">
      <c r="A59" s="27" t="str">
        <f t="array" ref="A59">IFERROR(INDEX(Pole_Kto,MATCH(0,COUNTIF($A$2:A58,Pole_Kto),0)),"")</f>
        <v/>
      </c>
      <c r="B59" s="26" t="str">
        <f t="shared" si="0"/>
        <v/>
      </c>
    </row>
    <row r="60" spans="1:2" ht="26.25" customHeight="1" x14ac:dyDescent="0.2">
      <c r="A60" s="27" t="str">
        <f t="array" ref="A60">IFERROR(INDEX(Pole_Kto,MATCH(0,COUNTIF($A$2:A59,Pole_Kto),0)),"")</f>
        <v/>
      </c>
      <c r="B60" s="26" t="str">
        <f t="shared" si="0"/>
        <v/>
      </c>
    </row>
    <row r="61" spans="1:2" ht="26.25" customHeight="1" x14ac:dyDescent="0.2">
      <c r="A61" s="27" t="str">
        <f t="array" ref="A61">IFERROR(INDEX(Pole_Kto,MATCH(0,COUNTIF($A$2:A60,Pole_Kto),0)),"")</f>
        <v/>
      </c>
      <c r="B61" s="26" t="str">
        <f t="shared" si="0"/>
        <v/>
      </c>
    </row>
    <row r="62" spans="1:2" ht="26.25" customHeight="1" x14ac:dyDescent="0.2">
      <c r="A62" s="27" t="str">
        <f t="array" ref="A62">IFERROR(INDEX(Pole_Kto,MATCH(0,COUNTIF($A$2:A61,Pole_Kto),0)),"")</f>
        <v/>
      </c>
      <c r="B62" s="26" t="str">
        <f t="shared" si="0"/>
        <v/>
      </c>
    </row>
    <row r="63" spans="1:2" ht="26.25" customHeight="1" x14ac:dyDescent="0.2">
      <c r="A63" s="27" t="str">
        <f t="array" ref="A63">IFERROR(INDEX(Pole_Kto,MATCH(0,COUNTIF($A$2:A62,Pole_Kto),0)),"")</f>
        <v/>
      </c>
      <c r="B63" s="26" t="str">
        <f t="shared" si="0"/>
        <v/>
      </c>
    </row>
    <row r="64" spans="1:2" ht="26.25" customHeight="1" x14ac:dyDescent="0.2">
      <c r="A64" s="27" t="str">
        <f t="array" ref="A64">IFERROR(INDEX(Pole_Kto,MATCH(0,COUNTIF($A$2:A63,Pole_Kto),0)),"")</f>
        <v/>
      </c>
      <c r="B64" s="26" t="str">
        <f t="shared" si="0"/>
        <v/>
      </c>
    </row>
    <row r="65" spans="1:2" ht="26.25" customHeight="1" x14ac:dyDescent="0.2">
      <c r="A65" s="27" t="str">
        <f t="array" ref="A65">IFERROR(INDEX(Pole_Kto,MATCH(0,COUNTIF($A$2:A64,Pole_Kto),0)),"")</f>
        <v/>
      </c>
      <c r="B65" s="26" t="str">
        <f t="shared" si="0"/>
        <v/>
      </c>
    </row>
    <row r="66" spans="1:2" ht="26.25" customHeight="1" x14ac:dyDescent="0.2">
      <c r="A66" s="27" t="str">
        <f t="array" ref="A66">IFERROR(INDEX(Pole_Kto,MATCH(0,COUNTIF($A$2:A65,Pole_Kto),0)),"")</f>
        <v/>
      </c>
      <c r="B66" s="26" t="str">
        <f t="shared" si="0"/>
        <v/>
      </c>
    </row>
    <row r="67" spans="1:2" ht="26.25" customHeight="1" x14ac:dyDescent="0.2">
      <c r="A67" s="27" t="str">
        <f t="array" ref="A67">IFERROR(INDEX(Pole_Kto,MATCH(0,COUNTIF($A$2:A66,Pole_Kto),0)),"")</f>
        <v/>
      </c>
      <c r="B67" s="26" t="str">
        <f t="shared" si="0"/>
        <v/>
      </c>
    </row>
    <row r="68" spans="1:2" ht="26.25" customHeight="1" x14ac:dyDescent="0.2">
      <c r="A68" s="27" t="str">
        <f t="array" ref="A68">IFERROR(INDEX(Pole_Kto,MATCH(0,COUNTIF($A$2:A67,Pole_Kto),0)),"")</f>
        <v/>
      </c>
      <c r="B68" s="26" t="str">
        <f t="shared" ref="B68:B131" si="1">IF(A68="","",ROW())</f>
        <v/>
      </c>
    </row>
    <row r="69" spans="1:2" ht="26.25" customHeight="1" x14ac:dyDescent="0.2">
      <c r="A69" s="27" t="str">
        <f t="array" ref="A69">IFERROR(INDEX(Pole_Kto,MATCH(0,COUNTIF($A$2:A68,Pole_Kto),0)),"")</f>
        <v/>
      </c>
      <c r="B69" s="26" t="str">
        <f t="shared" si="1"/>
        <v/>
      </c>
    </row>
    <row r="70" spans="1:2" ht="26.25" customHeight="1" x14ac:dyDescent="0.2">
      <c r="A70" s="27" t="str">
        <f t="array" ref="A70">IFERROR(INDEX(Pole_Kto,MATCH(0,COUNTIF($A$2:A69,Pole_Kto),0)),"")</f>
        <v/>
      </c>
      <c r="B70" s="26" t="str">
        <f t="shared" si="1"/>
        <v/>
      </c>
    </row>
    <row r="71" spans="1:2" ht="26.25" customHeight="1" x14ac:dyDescent="0.2">
      <c r="A71" s="27" t="str">
        <f t="array" ref="A71">IFERROR(INDEX(Pole_Kto,MATCH(0,COUNTIF($A$2:A70,Pole_Kto),0)),"")</f>
        <v/>
      </c>
      <c r="B71" s="26" t="str">
        <f t="shared" si="1"/>
        <v/>
      </c>
    </row>
    <row r="72" spans="1:2" ht="26.25" customHeight="1" x14ac:dyDescent="0.2">
      <c r="A72" s="27" t="str">
        <f t="array" ref="A72">IFERROR(INDEX(Pole_Kto,MATCH(0,COUNTIF($A$2:A71,Pole_Kto),0)),"")</f>
        <v/>
      </c>
      <c r="B72" s="26" t="str">
        <f t="shared" si="1"/>
        <v/>
      </c>
    </row>
    <row r="73" spans="1:2" ht="26.25" customHeight="1" x14ac:dyDescent="0.2">
      <c r="A73" s="27" t="str">
        <f t="array" ref="A73">IFERROR(INDEX(Pole_Kto,MATCH(0,COUNTIF($A$2:A72,Pole_Kto),0)),"")</f>
        <v/>
      </c>
      <c r="B73" s="26" t="str">
        <f t="shared" si="1"/>
        <v/>
      </c>
    </row>
    <row r="74" spans="1:2" ht="26.25" customHeight="1" x14ac:dyDescent="0.2">
      <c r="A74" s="27" t="str">
        <f t="array" ref="A74">IFERROR(INDEX(Pole_Kto,MATCH(0,COUNTIF($A$2:A73,Pole_Kto),0)),"")</f>
        <v/>
      </c>
      <c r="B74" s="26" t="str">
        <f t="shared" si="1"/>
        <v/>
      </c>
    </row>
    <row r="75" spans="1:2" ht="26.25" customHeight="1" x14ac:dyDescent="0.2">
      <c r="A75" s="27" t="str">
        <f t="array" ref="A75">IFERROR(INDEX(Pole_Kto,MATCH(0,COUNTIF($A$2:A74,Pole_Kto),0)),"")</f>
        <v/>
      </c>
      <c r="B75" s="26" t="str">
        <f t="shared" si="1"/>
        <v/>
      </c>
    </row>
    <row r="76" spans="1:2" ht="26.25" customHeight="1" x14ac:dyDescent="0.2">
      <c r="A76" s="27" t="str">
        <f t="array" ref="A76">IFERROR(INDEX(Pole_Kto,MATCH(0,COUNTIF($A$2:A75,Pole_Kto),0)),"")</f>
        <v/>
      </c>
      <c r="B76" s="26" t="str">
        <f t="shared" si="1"/>
        <v/>
      </c>
    </row>
    <row r="77" spans="1:2" ht="26.25" customHeight="1" x14ac:dyDescent="0.2">
      <c r="A77" s="27" t="str">
        <f t="array" ref="A77">IFERROR(INDEX(Pole_Kto,MATCH(0,COUNTIF($A$2:A76,Pole_Kto),0)),"")</f>
        <v/>
      </c>
      <c r="B77" s="26" t="str">
        <f t="shared" si="1"/>
        <v/>
      </c>
    </row>
    <row r="78" spans="1:2" ht="26.25" customHeight="1" x14ac:dyDescent="0.2">
      <c r="A78" s="27" t="str">
        <f t="array" ref="A78">IFERROR(INDEX(Pole_Kto,MATCH(0,COUNTIF($A$2:A77,Pole_Kto),0)),"")</f>
        <v/>
      </c>
      <c r="B78" s="26" t="str">
        <f t="shared" si="1"/>
        <v/>
      </c>
    </row>
    <row r="79" spans="1:2" ht="26.25" customHeight="1" x14ac:dyDescent="0.2">
      <c r="A79" s="27" t="str">
        <f t="array" ref="A79">IFERROR(INDEX(Pole_Kto,MATCH(0,COUNTIF($A$2:A78,Pole_Kto),0)),"")</f>
        <v/>
      </c>
      <c r="B79" s="26" t="str">
        <f t="shared" si="1"/>
        <v/>
      </c>
    </row>
    <row r="80" spans="1:2" ht="26.25" customHeight="1" x14ac:dyDescent="0.2">
      <c r="A80" s="27" t="str">
        <f t="array" ref="A80">IFERROR(INDEX(Pole_Kto,MATCH(0,COUNTIF($A$2:A79,Pole_Kto),0)),"")</f>
        <v/>
      </c>
      <c r="B80" s="26" t="str">
        <f t="shared" si="1"/>
        <v/>
      </c>
    </row>
    <row r="81" spans="1:2" ht="26.25" customHeight="1" x14ac:dyDescent="0.2">
      <c r="A81" s="27" t="str">
        <f t="array" ref="A81">IFERROR(INDEX(Pole_Kto,MATCH(0,COUNTIF($A$2:A80,Pole_Kto),0)),"")</f>
        <v/>
      </c>
      <c r="B81" s="26" t="str">
        <f t="shared" si="1"/>
        <v/>
      </c>
    </row>
    <row r="82" spans="1:2" ht="26.25" customHeight="1" x14ac:dyDescent="0.2">
      <c r="A82" s="27" t="str">
        <f t="array" ref="A82">IFERROR(INDEX(Pole_Kto,MATCH(0,COUNTIF($A$2:A81,Pole_Kto),0)),"")</f>
        <v/>
      </c>
      <c r="B82" s="26" t="str">
        <f t="shared" si="1"/>
        <v/>
      </c>
    </row>
    <row r="83" spans="1:2" ht="26.25" customHeight="1" x14ac:dyDescent="0.2">
      <c r="A83" s="27" t="str">
        <f t="array" ref="A83">IFERROR(INDEX(Pole_Kto,MATCH(0,COUNTIF($A$2:A82,Pole_Kto),0)),"")</f>
        <v/>
      </c>
      <c r="B83" s="26" t="str">
        <f t="shared" si="1"/>
        <v/>
      </c>
    </row>
    <row r="84" spans="1:2" ht="26.25" customHeight="1" x14ac:dyDescent="0.2">
      <c r="A84" s="27" t="str">
        <f t="array" ref="A84">IFERROR(INDEX(Pole_Kto,MATCH(0,COUNTIF($A$2:A83,Pole_Kto),0)),"")</f>
        <v/>
      </c>
      <c r="B84" s="26" t="str">
        <f t="shared" si="1"/>
        <v/>
      </c>
    </row>
    <row r="85" spans="1:2" ht="26.25" customHeight="1" x14ac:dyDescent="0.2">
      <c r="A85" s="27" t="str">
        <f t="array" ref="A85">IFERROR(INDEX(Pole_Kto,MATCH(0,COUNTIF($A$2:A84,Pole_Kto),0)),"")</f>
        <v/>
      </c>
      <c r="B85" s="26" t="str">
        <f t="shared" si="1"/>
        <v/>
      </c>
    </row>
    <row r="86" spans="1:2" ht="26.25" customHeight="1" x14ac:dyDescent="0.2">
      <c r="A86" s="27" t="str">
        <f t="array" ref="A86">IFERROR(INDEX(Pole_Kto,MATCH(0,COUNTIF($A$2:A85,Pole_Kto),0)),"")</f>
        <v/>
      </c>
      <c r="B86" s="26" t="str">
        <f t="shared" si="1"/>
        <v/>
      </c>
    </row>
    <row r="87" spans="1:2" ht="26.25" customHeight="1" x14ac:dyDescent="0.2">
      <c r="A87" s="27" t="str">
        <f t="array" ref="A87">IFERROR(INDEX(Pole_Kto,MATCH(0,COUNTIF($A$2:A86,Pole_Kto),0)),"")</f>
        <v/>
      </c>
      <c r="B87" s="26" t="str">
        <f t="shared" si="1"/>
        <v/>
      </c>
    </row>
    <row r="88" spans="1:2" ht="26.25" customHeight="1" x14ac:dyDescent="0.2">
      <c r="A88" s="27" t="str">
        <f t="array" ref="A88">IFERROR(INDEX(Pole_Kto,MATCH(0,COUNTIF($A$2:A87,Pole_Kto),0)),"")</f>
        <v/>
      </c>
      <c r="B88" s="26" t="str">
        <f t="shared" si="1"/>
        <v/>
      </c>
    </row>
    <row r="89" spans="1:2" ht="26.25" customHeight="1" x14ac:dyDescent="0.2">
      <c r="A89" s="27" t="str">
        <f t="array" ref="A89">IFERROR(INDEX(Pole_Kto,MATCH(0,COUNTIF($A$2:A88,Pole_Kto),0)),"")</f>
        <v/>
      </c>
      <c r="B89" s="26" t="str">
        <f t="shared" si="1"/>
        <v/>
      </c>
    </row>
    <row r="90" spans="1:2" ht="26.25" customHeight="1" x14ac:dyDescent="0.2">
      <c r="A90" s="27" t="str">
        <f t="array" ref="A90">IFERROR(INDEX(Pole_Kto,MATCH(0,COUNTIF($A$2:A89,Pole_Kto),0)),"")</f>
        <v/>
      </c>
      <c r="B90" s="26" t="str">
        <f t="shared" si="1"/>
        <v/>
      </c>
    </row>
    <row r="91" spans="1:2" ht="26.25" customHeight="1" x14ac:dyDescent="0.2">
      <c r="A91" s="27" t="str">
        <f t="array" ref="A91">IFERROR(INDEX(Pole_Kto,MATCH(0,COUNTIF($A$2:A90,Pole_Kto),0)),"")</f>
        <v/>
      </c>
      <c r="B91" s="26" t="str">
        <f t="shared" si="1"/>
        <v/>
      </c>
    </row>
    <row r="92" spans="1:2" ht="26.25" customHeight="1" x14ac:dyDescent="0.2">
      <c r="A92" s="27" t="str">
        <f t="array" ref="A92">IFERROR(INDEX(Pole_Kto,MATCH(0,COUNTIF($A$2:A91,Pole_Kto),0)),"")</f>
        <v/>
      </c>
      <c r="B92" s="26" t="str">
        <f t="shared" si="1"/>
        <v/>
      </c>
    </row>
    <row r="93" spans="1:2" ht="26.25" customHeight="1" x14ac:dyDescent="0.2">
      <c r="A93" s="27" t="str">
        <f t="array" ref="A93">IFERROR(INDEX(Pole_Kto,MATCH(0,COUNTIF($A$2:A92,Pole_Kto),0)),"")</f>
        <v/>
      </c>
      <c r="B93" s="26" t="str">
        <f t="shared" si="1"/>
        <v/>
      </c>
    </row>
    <row r="94" spans="1:2" ht="26.25" customHeight="1" x14ac:dyDescent="0.2">
      <c r="A94" s="27" t="str">
        <f t="array" ref="A94">IFERROR(INDEX(Pole_Kto,MATCH(0,COUNTIF($A$2:A93,Pole_Kto),0)),"")</f>
        <v/>
      </c>
      <c r="B94" s="26" t="str">
        <f t="shared" si="1"/>
        <v/>
      </c>
    </row>
    <row r="95" spans="1:2" ht="26.25" customHeight="1" x14ac:dyDescent="0.2">
      <c r="A95" s="27" t="str">
        <f t="array" ref="A95">IFERROR(INDEX(Pole_Kto,MATCH(0,COUNTIF($A$2:A94,Pole_Kto),0)),"")</f>
        <v/>
      </c>
      <c r="B95" s="26" t="str">
        <f t="shared" si="1"/>
        <v/>
      </c>
    </row>
    <row r="96" spans="1:2" ht="26.25" customHeight="1" x14ac:dyDescent="0.2">
      <c r="A96" s="27" t="str">
        <f t="array" ref="A96">IFERROR(INDEX(Pole_Kto,MATCH(0,COUNTIF($A$2:A95,Pole_Kto),0)),"")</f>
        <v/>
      </c>
      <c r="B96" s="26" t="str">
        <f t="shared" si="1"/>
        <v/>
      </c>
    </row>
    <row r="97" spans="1:2" ht="26.25" customHeight="1" x14ac:dyDescent="0.2">
      <c r="A97" s="27" t="str">
        <f t="array" ref="A97">IFERROR(INDEX(Pole_Kto,MATCH(0,COUNTIF($A$2:A96,Pole_Kto),0)),"")</f>
        <v/>
      </c>
      <c r="B97" s="26" t="str">
        <f t="shared" si="1"/>
        <v/>
      </c>
    </row>
    <row r="98" spans="1:2" ht="26.25" customHeight="1" x14ac:dyDescent="0.2">
      <c r="A98" s="27" t="str">
        <f t="array" ref="A98">IFERROR(INDEX(Pole_Kto,MATCH(0,COUNTIF($A$2:A97,Pole_Kto),0)),"")</f>
        <v/>
      </c>
      <c r="B98" s="26" t="str">
        <f t="shared" si="1"/>
        <v/>
      </c>
    </row>
    <row r="99" spans="1:2" ht="26.25" customHeight="1" x14ac:dyDescent="0.2">
      <c r="A99" s="27" t="str">
        <f t="array" ref="A99">IFERROR(INDEX(Pole_Kto,MATCH(0,COUNTIF($A$2:A98,Pole_Kto),0)),"")</f>
        <v/>
      </c>
      <c r="B99" s="26" t="str">
        <f t="shared" si="1"/>
        <v/>
      </c>
    </row>
    <row r="100" spans="1:2" ht="26.25" customHeight="1" x14ac:dyDescent="0.2">
      <c r="A100" s="27" t="str">
        <f t="array" ref="A100">IFERROR(INDEX(Pole_Kto,MATCH(0,COUNTIF($A$2:A99,Pole_Kto),0)),"")</f>
        <v/>
      </c>
      <c r="B100" s="26" t="str">
        <f t="shared" si="1"/>
        <v/>
      </c>
    </row>
    <row r="101" spans="1:2" ht="26.25" customHeight="1" x14ac:dyDescent="0.2">
      <c r="A101" s="27" t="str">
        <f t="array" ref="A101">IFERROR(INDEX(Pole_Kto,MATCH(0,COUNTIF($A$2:A100,Pole_Kto),0)),"")</f>
        <v/>
      </c>
      <c r="B101" s="26" t="str">
        <f t="shared" si="1"/>
        <v/>
      </c>
    </row>
    <row r="102" spans="1:2" ht="26.25" customHeight="1" x14ac:dyDescent="0.2">
      <c r="A102" s="27" t="str">
        <f t="array" ref="A102">IFERROR(INDEX(Pole_Kto,MATCH(0,COUNTIF($A$2:A101,Pole_Kto),0)),"")</f>
        <v/>
      </c>
      <c r="B102" s="26" t="str">
        <f t="shared" si="1"/>
        <v/>
      </c>
    </row>
    <row r="103" spans="1:2" ht="26.25" customHeight="1" x14ac:dyDescent="0.2">
      <c r="A103" s="27" t="str">
        <f t="array" ref="A103">IFERROR(INDEX(Pole_Kto,MATCH(0,COUNTIF($A$2:A102,Pole_Kto),0)),"")</f>
        <v/>
      </c>
      <c r="B103" s="26" t="str">
        <f t="shared" si="1"/>
        <v/>
      </c>
    </row>
    <row r="104" spans="1:2" ht="26.25" customHeight="1" x14ac:dyDescent="0.2">
      <c r="A104" s="27" t="str">
        <f t="array" ref="A104">IFERROR(INDEX(Pole_Kto,MATCH(0,COUNTIF($A$2:A103,Pole_Kto),0)),"")</f>
        <v/>
      </c>
      <c r="B104" s="26" t="str">
        <f t="shared" si="1"/>
        <v/>
      </c>
    </row>
    <row r="105" spans="1:2" ht="26.25" customHeight="1" x14ac:dyDescent="0.2">
      <c r="A105" s="27" t="str">
        <f t="array" ref="A105">IFERROR(INDEX(Pole_Kto,MATCH(0,COUNTIF($A$2:A104,Pole_Kto),0)),"")</f>
        <v/>
      </c>
      <c r="B105" s="26" t="str">
        <f t="shared" si="1"/>
        <v/>
      </c>
    </row>
    <row r="106" spans="1:2" ht="26.25" customHeight="1" x14ac:dyDescent="0.2">
      <c r="A106" s="27" t="str">
        <f t="array" ref="A106">IFERROR(INDEX(Pole_Kto,MATCH(0,COUNTIF($A$2:A105,Pole_Kto),0)),"")</f>
        <v/>
      </c>
      <c r="B106" s="26" t="str">
        <f t="shared" si="1"/>
        <v/>
      </c>
    </row>
    <row r="107" spans="1:2" ht="26.25" customHeight="1" x14ac:dyDescent="0.2">
      <c r="A107" s="27" t="str">
        <f t="array" ref="A107">IFERROR(INDEX(Pole_Kto,MATCH(0,COUNTIF($A$2:A106,Pole_Kto),0)),"")</f>
        <v/>
      </c>
      <c r="B107" s="26" t="str">
        <f t="shared" si="1"/>
        <v/>
      </c>
    </row>
    <row r="108" spans="1:2" ht="26.25" customHeight="1" x14ac:dyDescent="0.2">
      <c r="A108" s="27" t="str">
        <f t="array" ref="A108">IFERROR(INDEX(Pole_Kto,MATCH(0,COUNTIF($A$2:A107,Pole_Kto),0)),"")</f>
        <v/>
      </c>
      <c r="B108" s="26" t="str">
        <f t="shared" si="1"/>
        <v/>
      </c>
    </row>
    <row r="109" spans="1:2" ht="26.25" customHeight="1" x14ac:dyDescent="0.2">
      <c r="A109" s="27" t="str">
        <f t="array" ref="A109">IFERROR(INDEX(Pole_Kto,MATCH(0,COUNTIF($A$2:A108,Pole_Kto),0)),"")</f>
        <v/>
      </c>
      <c r="B109" s="26" t="str">
        <f t="shared" si="1"/>
        <v/>
      </c>
    </row>
    <row r="110" spans="1:2" ht="26.25" customHeight="1" x14ac:dyDescent="0.2">
      <c r="A110" s="27" t="str">
        <f t="array" ref="A110">IFERROR(INDEX(Pole_Kto,MATCH(0,COUNTIF($A$2:A109,Pole_Kto),0)),"")</f>
        <v/>
      </c>
      <c r="B110" s="26" t="str">
        <f t="shared" si="1"/>
        <v/>
      </c>
    </row>
    <row r="111" spans="1:2" ht="26.25" customHeight="1" x14ac:dyDescent="0.2">
      <c r="A111" s="27" t="str">
        <f t="array" ref="A111">IFERROR(INDEX(Pole_Kto,MATCH(0,COUNTIF($A$2:A110,Pole_Kto),0)),"")</f>
        <v/>
      </c>
      <c r="B111" s="26" t="str">
        <f t="shared" si="1"/>
        <v/>
      </c>
    </row>
    <row r="112" spans="1:2" ht="26.25" customHeight="1" x14ac:dyDescent="0.2">
      <c r="A112" s="27" t="str">
        <f t="array" ref="A112">IFERROR(INDEX(Pole_Kto,MATCH(0,COUNTIF($A$2:A111,Pole_Kto),0)),"")</f>
        <v/>
      </c>
      <c r="B112" s="26" t="str">
        <f t="shared" si="1"/>
        <v/>
      </c>
    </row>
    <row r="113" spans="1:2" ht="26.25" customHeight="1" x14ac:dyDescent="0.2">
      <c r="A113" s="27" t="str">
        <f t="array" ref="A113">IFERROR(INDEX(Pole_Kto,MATCH(0,COUNTIF($A$2:A112,Pole_Kto),0)),"")</f>
        <v/>
      </c>
      <c r="B113" s="26" t="str">
        <f t="shared" si="1"/>
        <v/>
      </c>
    </row>
    <row r="114" spans="1:2" ht="26.25" customHeight="1" x14ac:dyDescent="0.2">
      <c r="A114" s="27" t="str">
        <f t="array" ref="A114">IFERROR(INDEX(Pole_Kto,MATCH(0,COUNTIF($A$2:A113,Pole_Kto),0)),"")</f>
        <v/>
      </c>
      <c r="B114" s="26" t="str">
        <f t="shared" si="1"/>
        <v/>
      </c>
    </row>
    <row r="115" spans="1:2" ht="26.25" customHeight="1" x14ac:dyDescent="0.2">
      <c r="A115" s="27" t="str">
        <f t="array" ref="A115">IFERROR(INDEX(Pole_Kto,MATCH(0,COUNTIF($A$2:A114,Pole_Kto),0)),"")</f>
        <v/>
      </c>
      <c r="B115" s="26" t="str">
        <f t="shared" si="1"/>
        <v/>
      </c>
    </row>
    <row r="116" spans="1:2" ht="26.25" customHeight="1" x14ac:dyDescent="0.2">
      <c r="A116" s="27" t="str">
        <f t="array" ref="A116">IFERROR(INDEX(Pole_Kto,MATCH(0,COUNTIF($A$2:A115,Pole_Kto),0)),"")</f>
        <v/>
      </c>
      <c r="B116" s="26" t="str">
        <f t="shared" si="1"/>
        <v/>
      </c>
    </row>
    <row r="117" spans="1:2" ht="26.25" customHeight="1" x14ac:dyDescent="0.2">
      <c r="A117" s="27" t="str">
        <f t="array" ref="A117">IFERROR(INDEX(Pole_Kto,MATCH(0,COUNTIF($A$2:A116,Pole_Kto),0)),"")</f>
        <v/>
      </c>
      <c r="B117" s="26" t="str">
        <f t="shared" si="1"/>
        <v/>
      </c>
    </row>
    <row r="118" spans="1:2" ht="26.25" customHeight="1" x14ac:dyDescent="0.2">
      <c r="A118" s="27" t="str">
        <f t="array" ref="A118">IFERROR(INDEX(Pole_Kto,MATCH(0,COUNTIF($A$2:A117,Pole_Kto),0)),"")</f>
        <v/>
      </c>
      <c r="B118" s="26" t="str">
        <f t="shared" si="1"/>
        <v/>
      </c>
    </row>
    <row r="119" spans="1:2" ht="26.25" customHeight="1" x14ac:dyDescent="0.2">
      <c r="A119" s="27" t="str">
        <f t="array" ref="A119">IFERROR(INDEX(Pole_Kto,MATCH(0,COUNTIF($A$2:A118,Pole_Kto),0)),"")</f>
        <v/>
      </c>
      <c r="B119" s="26" t="str">
        <f t="shared" si="1"/>
        <v/>
      </c>
    </row>
    <row r="120" spans="1:2" ht="26.25" customHeight="1" x14ac:dyDescent="0.2">
      <c r="A120" s="27" t="str">
        <f t="array" ref="A120">IFERROR(INDEX(Pole_Kto,MATCH(0,COUNTIF($A$2:A119,Pole_Kto),0)),"")</f>
        <v/>
      </c>
      <c r="B120" s="26" t="str">
        <f t="shared" si="1"/>
        <v/>
      </c>
    </row>
    <row r="121" spans="1:2" ht="26.25" customHeight="1" x14ac:dyDescent="0.2">
      <c r="A121" s="27" t="str">
        <f t="array" ref="A121">IFERROR(INDEX(Pole_Kto,MATCH(0,COUNTIF($A$2:A120,Pole_Kto),0)),"")</f>
        <v/>
      </c>
      <c r="B121" s="26" t="str">
        <f t="shared" si="1"/>
        <v/>
      </c>
    </row>
    <row r="122" spans="1:2" ht="26.25" customHeight="1" x14ac:dyDescent="0.2">
      <c r="A122" s="27" t="str">
        <f t="array" ref="A122">IFERROR(INDEX(Pole_Kto,MATCH(0,COUNTIF($A$2:A121,Pole_Kto),0)),"")</f>
        <v/>
      </c>
      <c r="B122" s="26" t="str">
        <f t="shared" si="1"/>
        <v/>
      </c>
    </row>
    <row r="123" spans="1:2" ht="26.25" customHeight="1" x14ac:dyDescent="0.2">
      <c r="A123" s="27" t="str">
        <f t="array" ref="A123">IFERROR(INDEX(Pole_Kto,MATCH(0,COUNTIF($A$2:A122,Pole_Kto),0)),"")</f>
        <v/>
      </c>
      <c r="B123" s="26" t="str">
        <f t="shared" si="1"/>
        <v/>
      </c>
    </row>
    <row r="124" spans="1:2" ht="26.25" customHeight="1" x14ac:dyDescent="0.2">
      <c r="A124" s="27" t="str">
        <f t="array" ref="A124">IFERROR(INDEX(Pole_Kto,MATCH(0,COUNTIF($A$2:A123,Pole_Kto),0)),"")</f>
        <v/>
      </c>
      <c r="B124" s="26" t="str">
        <f t="shared" si="1"/>
        <v/>
      </c>
    </row>
    <row r="125" spans="1:2" ht="26.25" customHeight="1" x14ac:dyDescent="0.2">
      <c r="A125" s="27" t="str">
        <f t="array" ref="A125">IFERROR(INDEX(Pole_Kto,MATCH(0,COUNTIF($A$2:A124,Pole_Kto),0)),"")</f>
        <v/>
      </c>
      <c r="B125" s="26" t="str">
        <f t="shared" si="1"/>
        <v/>
      </c>
    </row>
    <row r="126" spans="1:2" ht="26.25" customHeight="1" x14ac:dyDescent="0.2">
      <c r="A126" s="27" t="str">
        <f t="array" ref="A126">IFERROR(INDEX(Pole_Kto,MATCH(0,COUNTIF($A$2:A125,Pole_Kto),0)),"")</f>
        <v/>
      </c>
      <c r="B126" s="26" t="str">
        <f t="shared" si="1"/>
        <v/>
      </c>
    </row>
    <row r="127" spans="1:2" ht="26.25" customHeight="1" x14ac:dyDescent="0.2">
      <c r="A127" s="27" t="str">
        <f t="array" ref="A127">IFERROR(INDEX(Pole_Kto,MATCH(0,COUNTIF($A$2:A126,Pole_Kto),0)),"")</f>
        <v/>
      </c>
      <c r="B127" s="26" t="str">
        <f t="shared" si="1"/>
        <v/>
      </c>
    </row>
    <row r="128" spans="1:2" ht="26.25" customHeight="1" x14ac:dyDescent="0.2">
      <c r="A128" s="27" t="str">
        <f t="array" ref="A128">IFERROR(INDEX(Pole_Kto,MATCH(0,COUNTIF($A$2:A127,Pole_Kto),0)),"")</f>
        <v/>
      </c>
      <c r="B128" s="26" t="str">
        <f t="shared" si="1"/>
        <v/>
      </c>
    </row>
    <row r="129" spans="1:2" ht="26.25" customHeight="1" x14ac:dyDescent="0.2">
      <c r="A129" s="27" t="str">
        <f t="array" ref="A129">IFERROR(INDEX(Pole_Kto,MATCH(0,COUNTIF($A$2:A128,Pole_Kto),0)),"")</f>
        <v/>
      </c>
      <c r="B129" s="26" t="str">
        <f t="shared" si="1"/>
        <v/>
      </c>
    </row>
    <row r="130" spans="1:2" ht="26.25" customHeight="1" x14ac:dyDescent="0.2">
      <c r="A130" s="27" t="str">
        <f t="array" ref="A130">IFERROR(INDEX(Pole_Kto,MATCH(0,COUNTIF($A$2:A129,Pole_Kto),0)),"")</f>
        <v/>
      </c>
      <c r="B130" s="26" t="str">
        <f t="shared" si="1"/>
        <v/>
      </c>
    </row>
    <row r="131" spans="1:2" ht="26.25" customHeight="1" x14ac:dyDescent="0.2">
      <c r="A131" s="27" t="str">
        <f t="array" ref="A131">IFERROR(INDEX(Pole_Kto,MATCH(0,COUNTIF($A$2:A130,Pole_Kto),0)),"")</f>
        <v/>
      </c>
      <c r="B131" s="26" t="str">
        <f t="shared" si="1"/>
        <v/>
      </c>
    </row>
    <row r="132" spans="1:2" ht="26.25" customHeight="1" x14ac:dyDescent="0.2">
      <c r="A132" s="27" t="str">
        <f t="array" ref="A132">IFERROR(INDEX(Pole_Kto,MATCH(0,COUNTIF($A$2:A131,Pole_Kto),0)),"")</f>
        <v/>
      </c>
      <c r="B132" s="26" t="str">
        <f t="shared" ref="B132" si="2">IF(A132="","",ROW())</f>
        <v/>
      </c>
    </row>
  </sheetData>
  <mergeCells count="1">
    <mergeCell ref="A1:B1"/>
  </mergeCells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CFA5F52AA0A00C4CBEF2A37681B2318F04009FDCD24A096B5E4C8184D4910FEB1A76" ma:contentTypeVersion="56" ma:contentTypeDescription="Create a new document." ma:contentTypeScope="" ma:versionID="e2b161dd106aa6ff43a2053ab7ed0d23">
  <xsd:schema xmlns:xsd="http://www.w3.org/2001/XMLSchema" xmlns:xs="http://www.w3.org/2001/XMLSchema" xmlns:p="http://schemas.microsoft.com/office/2006/metadata/properties" xmlns:ns2="29baff33-f40f-4664-8054-1bde3cabf4f6" targetNamespace="http://schemas.microsoft.com/office/2006/metadata/properties" ma:root="true" ma:fieldsID="df3fe752eed498a1554dc026fa12eabd" ns2:_="">
    <xsd:import namespace="29baff33-f40f-4664-8054-1bde3cabf4f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baff33-f40f-4664-8054-1bde3cabf4f6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35ae66bf-e87d-41c1-aaaa-5f9779661904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1DDBB892-E9C2-41BE-A746-120199994C31}" ma:internalName="CSXSubmissionMarket" ma:readOnly="false" ma:showField="MarketName" ma:web="29baff33-f40f-4664-8054-1bde3cabf4f6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22649cd3-0638-4550-a153-a68664946fb0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2513E2E7-E2AF-440C-8567-37153D3865E2}" ma:internalName="InProjectListLookup" ma:readOnly="true" ma:showField="InProjectList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961a284f-ead0-40ef-8222-26875887a96b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2513E2E7-E2AF-440C-8567-37153D3865E2}" ma:internalName="LastCompleteVersionLookup" ma:readOnly="true" ma:showField="LastCompleteVersion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2513E2E7-E2AF-440C-8567-37153D3865E2}" ma:internalName="LastPreviewErrorLookup" ma:readOnly="true" ma:showField="LastPreviewError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2513E2E7-E2AF-440C-8567-37153D3865E2}" ma:internalName="LastPreviewResultLookup" ma:readOnly="true" ma:showField="LastPreviewResult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2513E2E7-E2AF-440C-8567-37153D3865E2}" ma:internalName="LastPreviewAttemptDateLookup" ma:readOnly="true" ma:showField="LastPreviewAttemptDate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2513E2E7-E2AF-440C-8567-37153D3865E2}" ma:internalName="LastPreviewedByLookup" ma:readOnly="true" ma:showField="LastPreviewedBy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2513E2E7-E2AF-440C-8567-37153D3865E2}" ma:internalName="LastPreviewTimeLookup" ma:readOnly="true" ma:showField="LastPreviewTime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2513E2E7-E2AF-440C-8567-37153D3865E2}" ma:internalName="LastPreviewVersionLookup" ma:readOnly="true" ma:showField="LastPreviewVersion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2513E2E7-E2AF-440C-8567-37153D3865E2}" ma:internalName="LastPublishErrorLookup" ma:readOnly="true" ma:showField="LastPublishError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2513E2E7-E2AF-440C-8567-37153D3865E2}" ma:internalName="LastPublishResultLookup" ma:readOnly="true" ma:showField="LastPublishResult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2513E2E7-E2AF-440C-8567-37153D3865E2}" ma:internalName="LastPublishAttemptDateLookup" ma:readOnly="true" ma:showField="LastPublishAttemptDate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2513E2E7-E2AF-440C-8567-37153D3865E2}" ma:internalName="LastPublishedByLookup" ma:readOnly="true" ma:showField="LastPublishedBy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2513E2E7-E2AF-440C-8567-37153D3865E2}" ma:internalName="LastPublishTimeLookup" ma:readOnly="true" ma:showField="LastPublishTime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2513E2E7-E2AF-440C-8567-37153D3865E2}" ma:internalName="LastPublishVersionLookup" ma:readOnly="true" ma:showField="LastPublishVersion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72723BFE-42E4-4BFD-ABEC-91FC880F9EED}" ma:internalName="LocLastLocAttemptVersionLookup" ma:readOnly="false" ma:showField="LastLocAttemptVersion" ma:web="29baff33-f40f-4664-8054-1bde3cabf4f6">
      <xsd:simpleType>
        <xsd:restriction base="dms:Lookup"/>
      </xsd:simpleType>
    </xsd:element>
    <xsd:element name="LocLastLocAttemptVersionTypeLookup" ma:index="71" nillable="true" ma:displayName="Loc Last Loc Attempt Version Type" ma:default="" ma:list="{72723BFE-42E4-4BFD-ABEC-91FC880F9EED}" ma:internalName="LocLastLocAttemptVersionTypeLookup" ma:readOnly="true" ma:showField="LastLocAttemptVersionType" ma:web="29baff33-f40f-4664-8054-1bde3cabf4f6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72723BFE-42E4-4BFD-ABEC-91FC880F9EED}" ma:internalName="LocNewPublishedVersionLookup" ma:readOnly="true" ma:showField="NewPublishedVersion" ma:web="29baff33-f40f-4664-8054-1bde3cabf4f6">
      <xsd:simpleType>
        <xsd:restriction base="dms:Lookup"/>
      </xsd:simpleType>
    </xsd:element>
    <xsd:element name="LocOverallHandbackStatusLookup" ma:index="75" nillable="true" ma:displayName="Loc Overall Handback Status" ma:default="" ma:list="{72723BFE-42E4-4BFD-ABEC-91FC880F9EED}" ma:internalName="LocOverallHandbackStatusLookup" ma:readOnly="true" ma:showField="OverallHandbackStatus" ma:web="29baff33-f40f-4664-8054-1bde3cabf4f6">
      <xsd:simpleType>
        <xsd:restriction base="dms:Lookup"/>
      </xsd:simpleType>
    </xsd:element>
    <xsd:element name="LocOverallLocStatusLookup" ma:index="76" nillable="true" ma:displayName="Loc Overall Localize Status" ma:default="" ma:list="{72723BFE-42E4-4BFD-ABEC-91FC880F9EED}" ma:internalName="LocOverallLocStatusLookup" ma:readOnly="true" ma:showField="OverallLocStatus" ma:web="29baff33-f40f-4664-8054-1bde3cabf4f6">
      <xsd:simpleType>
        <xsd:restriction base="dms:Lookup"/>
      </xsd:simpleType>
    </xsd:element>
    <xsd:element name="LocOverallPreviewStatusLookup" ma:index="77" nillable="true" ma:displayName="Loc Overall Preview Status" ma:default="" ma:list="{72723BFE-42E4-4BFD-ABEC-91FC880F9EED}" ma:internalName="LocOverallPreviewStatusLookup" ma:readOnly="true" ma:showField="OverallPreviewStatus" ma:web="29baff33-f40f-4664-8054-1bde3cabf4f6">
      <xsd:simpleType>
        <xsd:restriction base="dms:Lookup"/>
      </xsd:simpleType>
    </xsd:element>
    <xsd:element name="LocOverallPublishStatusLookup" ma:index="78" nillable="true" ma:displayName="Loc Overall Publish Status" ma:default="" ma:list="{72723BFE-42E4-4BFD-ABEC-91FC880F9EED}" ma:internalName="LocOverallPublishStatusLookup" ma:readOnly="true" ma:showField="OverallPublishStatus" ma:web="29baff33-f40f-4664-8054-1bde3cabf4f6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72723BFE-42E4-4BFD-ABEC-91FC880F9EED}" ma:internalName="LocProcessedForHandoffsLookup" ma:readOnly="true" ma:showField="ProcessedForHandoffs" ma:web="29baff33-f40f-4664-8054-1bde3cabf4f6">
      <xsd:simpleType>
        <xsd:restriction base="dms:Lookup"/>
      </xsd:simpleType>
    </xsd:element>
    <xsd:element name="LocProcessedForMarketsLookup" ma:index="81" nillable="true" ma:displayName="Loc Processed For Markets" ma:default="" ma:list="{72723BFE-42E4-4BFD-ABEC-91FC880F9EED}" ma:internalName="LocProcessedForMarketsLookup" ma:readOnly="true" ma:showField="ProcessedForMarkets" ma:web="29baff33-f40f-4664-8054-1bde3cabf4f6">
      <xsd:simpleType>
        <xsd:restriction base="dms:Lookup"/>
      </xsd:simpleType>
    </xsd:element>
    <xsd:element name="LocPublishedDependentAssetsLookup" ma:index="82" nillable="true" ma:displayName="Loc Published Dependent Assets" ma:default="" ma:list="{72723BFE-42E4-4BFD-ABEC-91FC880F9EED}" ma:internalName="LocPublishedDependentAssetsLookup" ma:readOnly="true" ma:showField="PublishedDependentAssets" ma:web="29baff33-f40f-4664-8054-1bde3cabf4f6">
      <xsd:simpleType>
        <xsd:restriction base="dms:Lookup"/>
      </xsd:simpleType>
    </xsd:element>
    <xsd:element name="LocPublishedLinkedAssetsLookup" ma:index="83" nillable="true" ma:displayName="Loc Published Linked Assets" ma:default="" ma:list="{72723BFE-42E4-4BFD-ABEC-91FC880F9EED}" ma:internalName="LocPublishedLinkedAssetsLookup" ma:readOnly="true" ma:showField="PublishedLinkedAssets" ma:web="29baff33-f40f-4664-8054-1bde3cabf4f6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cb159bc7-6392-40eb-91ad-5e9404d69876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1DDBB892-E9C2-41BE-A746-120199994C31}" ma:internalName="Markets" ma:readOnly="false" ma:showField="MarketName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2513E2E7-E2AF-440C-8567-37153D3865E2}" ma:internalName="NumOfRatingsLookup" ma:readOnly="true" ma:showField="NumOfRatings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2513E2E7-E2AF-440C-8567-37153D3865E2}" ma:internalName="PublishStatusLookup" ma:readOnly="false" ma:showField="PublishStatus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9e57b0ce-4b8f-49f5-b588-fc22682c04a3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9d66d6a4-c4b4-42e6-80e6-7373254461f0}" ma:internalName="TaxCatchAll" ma:showField="CatchAllData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9d66d6a4-c4b4-42e6-80e6-7373254461f0}" ma:internalName="TaxCatchAllLabel" ma:readOnly="true" ma:showField="CatchAllDataLabel" ma:web="29baff33-f40f-4664-8054-1bde3cabf4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baff33-f40f-4664-8054-1bde3cabf4f6" xsi:nil="true"/>
    <AssetExpire xmlns="29baff33-f40f-4664-8054-1bde3cabf4f6">2029-01-01T08:00:00+00:00</AssetExpire>
    <CampaignTagsTaxHTField0 xmlns="29baff33-f40f-4664-8054-1bde3cabf4f6">
      <Terms xmlns="http://schemas.microsoft.com/office/infopath/2007/PartnerControls"/>
    </CampaignTagsTaxHTField0>
    <IntlLangReviewDate xmlns="29baff33-f40f-4664-8054-1bde3cabf4f6" xsi:nil="true"/>
    <TPFriendlyName xmlns="29baff33-f40f-4664-8054-1bde3cabf4f6" xsi:nil="true"/>
    <IntlLangReview xmlns="29baff33-f40f-4664-8054-1bde3cabf4f6">false</IntlLangReview>
    <LocLastLocAttemptVersionLookup xmlns="29baff33-f40f-4664-8054-1bde3cabf4f6">845905</LocLastLocAttemptVersionLookup>
    <PolicheckWords xmlns="29baff33-f40f-4664-8054-1bde3cabf4f6" xsi:nil="true"/>
    <SubmitterId xmlns="29baff33-f40f-4664-8054-1bde3cabf4f6" xsi:nil="true"/>
    <AcquiredFrom xmlns="29baff33-f40f-4664-8054-1bde3cabf4f6">Internal MS</AcquiredFrom>
    <EditorialStatus xmlns="29baff33-f40f-4664-8054-1bde3cabf4f6" xsi:nil="true"/>
    <Markets xmlns="29baff33-f40f-4664-8054-1bde3cabf4f6"/>
    <OriginAsset xmlns="29baff33-f40f-4664-8054-1bde3cabf4f6" xsi:nil="true"/>
    <AssetStart xmlns="29baff33-f40f-4664-8054-1bde3cabf4f6">2012-06-28T22:32:50+00:00</AssetStart>
    <FriendlyTitle xmlns="29baff33-f40f-4664-8054-1bde3cabf4f6" xsi:nil="true"/>
    <MarketSpecific xmlns="29baff33-f40f-4664-8054-1bde3cabf4f6">false</MarketSpecific>
    <TPNamespace xmlns="29baff33-f40f-4664-8054-1bde3cabf4f6" xsi:nil="true"/>
    <PublishStatusLookup xmlns="29baff33-f40f-4664-8054-1bde3cabf4f6">
      <Value>375729</Value>
    </PublishStatusLookup>
    <APAuthor xmlns="29baff33-f40f-4664-8054-1bde3cabf4f6">
      <UserInfo>
        <DisplayName/>
        <AccountId>2566</AccountId>
        <AccountType/>
      </UserInfo>
    </APAuthor>
    <TPCommandLine xmlns="29baff33-f40f-4664-8054-1bde3cabf4f6" xsi:nil="true"/>
    <IntlLangReviewer xmlns="29baff33-f40f-4664-8054-1bde3cabf4f6" xsi:nil="true"/>
    <OpenTemplate xmlns="29baff33-f40f-4664-8054-1bde3cabf4f6">true</OpenTemplate>
    <CSXSubmissionDate xmlns="29baff33-f40f-4664-8054-1bde3cabf4f6" xsi:nil="true"/>
    <TaxCatchAll xmlns="29baff33-f40f-4664-8054-1bde3cabf4f6"/>
    <Manager xmlns="29baff33-f40f-4664-8054-1bde3cabf4f6" xsi:nil="true"/>
    <NumericId xmlns="29baff33-f40f-4664-8054-1bde3cabf4f6" xsi:nil="true"/>
    <ParentAssetId xmlns="29baff33-f40f-4664-8054-1bde3cabf4f6" xsi:nil="true"/>
    <OriginalSourceMarket xmlns="29baff33-f40f-4664-8054-1bde3cabf4f6">english</OriginalSourceMarket>
    <ApprovalStatus xmlns="29baff33-f40f-4664-8054-1bde3cabf4f6">InProgress</ApprovalStatus>
    <TPComponent xmlns="29baff33-f40f-4664-8054-1bde3cabf4f6" xsi:nil="true"/>
    <EditorialTags xmlns="29baff33-f40f-4664-8054-1bde3cabf4f6" xsi:nil="true"/>
    <TPExecutable xmlns="29baff33-f40f-4664-8054-1bde3cabf4f6" xsi:nil="true"/>
    <TPLaunchHelpLink xmlns="29baff33-f40f-4664-8054-1bde3cabf4f6" xsi:nil="true"/>
    <LocComments xmlns="29baff33-f40f-4664-8054-1bde3cabf4f6" xsi:nil="true"/>
    <LocRecommendedHandoff xmlns="29baff33-f40f-4664-8054-1bde3cabf4f6" xsi:nil="true"/>
    <SourceTitle xmlns="29baff33-f40f-4664-8054-1bde3cabf4f6" xsi:nil="true"/>
    <CSXUpdate xmlns="29baff33-f40f-4664-8054-1bde3cabf4f6">false</CSXUpdate>
    <IntlLocPriority xmlns="29baff33-f40f-4664-8054-1bde3cabf4f6" xsi:nil="true"/>
    <UAProjectedTotalWords xmlns="29baff33-f40f-4664-8054-1bde3cabf4f6" xsi:nil="true"/>
    <AssetType xmlns="29baff33-f40f-4664-8054-1bde3cabf4f6" xsi:nil="true"/>
    <MachineTranslated xmlns="29baff33-f40f-4664-8054-1bde3cabf4f6">false</MachineTranslated>
    <OutputCachingOn xmlns="29baff33-f40f-4664-8054-1bde3cabf4f6">false</OutputCachingOn>
    <TemplateStatus xmlns="29baff33-f40f-4664-8054-1bde3cabf4f6">Complete</TemplateStatus>
    <IsSearchable xmlns="29baff33-f40f-4664-8054-1bde3cabf4f6">false</IsSearchable>
    <ContentItem xmlns="29baff33-f40f-4664-8054-1bde3cabf4f6" xsi:nil="true"/>
    <HandoffToMSDN xmlns="29baff33-f40f-4664-8054-1bde3cabf4f6" xsi:nil="true"/>
    <ShowIn xmlns="29baff33-f40f-4664-8054-1bde3cabf4f6">Show everywhere</ShowIn>
    <ThumbnailAssetId xmlns="29baff33-f40f-4664-8054-1bde3cabf4f6" xsi:nil="true"/>
    <UALocComments xmlns="29baff33-f40f-4664-8054-1bde3cabf4f6" xsi:nil="true"/>
    <UALocRecommendation xmlns="29baff33-f40f-4664-8054-1bde3cabf4f6">Localize</UALocRecommendation>
    <LastModifiedDateTime xmlns="29baff33-f40f-4664-8054-1bde3cabf4f6" xsi:nil="true"/>
    <LegacyData xmlns="29baff33-f40f-4664-8054-1bde3cabf4f6" xsi:nil="true"/>
    <LocManualTestRequired xmlns="29baff33-f40f-4664-8054-1bde3cabf4f6">false</LocManualTestRequired>
    <LocMarketGroupTiers2 xmlns="29baff33-f40f-4664-8054-1bde3cabf4f6" xsi:nil="true"/>
    <ClipArtFilename xmlns="29baff33-f40f-4664-8054-1bde3cabf4f6" xsi:nil="true"/>
    <TPApplication xmlns="29baff33-f40f-4664-8054-1bde3cabf4f6" xsi:nil="true"/>
    <CSXHash xmlns="29baff33-f40f-4664-8054-1bde3cabf4f6" xsi:nil="true"/>
    <DirectSourceMarket xmlns="29baff33-f40f-4664-8054-1bde3cabf4f6">english</DirectSourceMarket>
    <PrimaryImageGen xmlns="29baff33-f40f-4664-8054-1bde3cabf4f6">false</PrimaryImageGen>
    <PlannedPubDate xmlns="29baff33-f40f-4664-8054-1bde3cabf4f6" xsi:nil="true"/>
    <CSXSubmissionMarket xmlns="29baff33-f40f-4664-8054-1bde3cabf4f6" xsi:nil="true"/>
    <Downloads xmlns="29baff33-f40f-4664-8054-1bde3cabf4f6">0</Downloads>
    <ArtSampleDocs xmlns="29baff33-f40f-4664-8054-1bde3cabf4f6" xsi:nil="true"/>
    <TrustLevel xmlns="29baff33-f40f-4664-8054-1bde3cabf4f6">1 Microsoft Managed Content</TrustLevel>
    <BlockPublish xmlns="29baff33-f40f-4664-8054-1bde3cabf4f6">false</BlockPublish>
    <TPLaunchHelpLinkType xmlns="29baff33-f40f-4664-8054-1bde3cabf4f6">Template</TPLaunchHelpLinkType>
    <LocalizationTagsTaxHTField0 xmlns="29baff33-f40f-4664-8054-1bde3cabf4f6">
      <Terms xmlns="http://schemas.microsoft.com/office/infopath/2007/PartnerControls"/>
    </LocalizationTagsTaxHTField0>
    <BusinessGroup xmlns="29baff33-f40f-4664-8054-1bde3cabf4f6" xsi:nil="true"/>
    <Providers xmlns="29baff33-f40f-4664-8054-1bde3cabf4f6" xsi:nil="true"/>
    <TemplateTemplateType xmlns="29baff33-f40f-4664-8054-1bde3cabf4f6">Excel Spreadsheet Template</TemplateTemplateType>
    <TimesCloned xmlns="29baff33-f40f-4664-8054-1bde3cabf4f6" xsi:nil="true"/>
    <TPAppVersion xmlns="29baff33-f40f-4664-8054-1bde3cabf4f6" xsi:nil="true"/>
    <VoteCount xmlns="29baff33-f40f-4664-8054-1bde3cabf4f6" xsi:nil="true"/>
    <FeatureTagsTaxHTField0 xmlns="29baff33-f40f-4664-8054-1bde3cabf4f6">
      <Terms xmlns="http://schemas.microsoft.com/office/infopath/2007/PartnerControls"/>
    </FeatureTagsTaxHTField0>
    <Provider xmlns="29baff33-f40f-4664-8054-1bde3cabf4f6" xsi:nil="true"/>
    <UACurrentWords xmlns="29baff33-f40f-4664-8054-1bde3cabf4f6" xsi:nil="true"/>
    <AssetId xmlns="29baff33-f40f-4664-8054-1bde3cabf4f6">TP102930000</AssetId>
    <TPClientViewer xmlns="29baff33-f40f-4664-8054-1bde3cabf4f6" xsi:nil="true"/>
    <DSATActionTaken xmlns="29baff33-f40f-4664-8054-1bde3cabf4f6" xsi:nil="true"/>
    <APEditor xmlns="29baff33-f40f-4664-8054-1bde3cabf4f6">
      <UserInfo>
        <DisplayName/>
        <AccountId xsi:nil="true"/>
        <AccountType/>
      </UserInfo>
    </APEditor>
    <TPInstallLocation xmlns="29baff33-f40f-4664-8054-1bde3cabf4f6" xsi:nil="true"/>
    <OOCacheId xmlns="29baff33-f40f-4664-8054-1bde3cabf4f6" xsi:nil="true"/>
    <IsDeleted xmlns="29baff33-f40f-4664-8054-1bde3cabf4f6">false</IsDeleted>
    <PublishTargets xmlns="29baff33-f40f-4664-8054-1bde3cabf4f6">OfficeOnlineVNext</PublishTargets>
    <ApprovalLog xmlns="29baff33-f40f-4664-8054-1bde3cabf4f6" xsi:nil="true"/>
    <BugNumber xmlns="29baff33-f40f-4664-8054-1bde3cabf4f6" xsi:nil="true"/>
    <CrawlForDependencies xmlns="29baff33-f40f-4664-8054-1bde3cabf4f6">false</CrawlForDependencies>
    <InternalTagsTaxHTField0 xmlns="29baff33-f40f-4664-8054-1bde3cabf4f6">
      <Terms xmlns="http://schemas.microsoft.com/office/infopath/2007/PartnerControls"/>
    </InternalTagsTaxHTField0>
    <LastHandOff xmlns="29baff33-f40f-4664-8054-1bde3cabf4f6" xsi:nil="true"/>
    <Milestone xmlns="29baff33-f40f-4664-8054-1bde3cabf4f6" xsi:nil="true"/>
    <OriginalRelease xmlns="29baff33-f40f-4664-8054-1bde3cabf4f6">15</OriginalRelease>
    <RecommendationsModifier xmlns="29baff33-f40f-4664-8054-1bde3cabf4f6" xsi:nil="true"/>
    <ScenarioTagsTaxHTField0 xmlns="29baff33-f40f-4664-8054-1bde3cabf4f6">
      <Terms xmlns="http://schemas.microsoft.com/office/infopath/2007/PartnerControls"/>
    </ScenarioTagsTaxHTField0>
    <UANotes xmlns="29baff33-f40f-4664-8054-1bde3cabf4f6" xsi:nil="true"/>
  </documentManagement>
</p:properties>
</file>

<file path=customXml/itemProps1.xml><?xml version="1.0" encoding="utf-8"?>
<ds:datastoreItem xmlns:ds="http://schemas.openxmlformats.org/officeDocument/2006/customXml" ds:itemID="{3891DAE2-A044-423E-ACE5-54D3D6352DF4}"/>
</file>

<file path=customXml/itemProps2.xml><?xml version="1.0" encoding="utf-8"?>
<ds:datastoreItem xmlns:ds="http://schemas.openxmlformats.org/officeDocument/2006/customXml" ds:itemID="{4166A05B-311A-4EF0-A5B5-406234209C4B}"/>
</file>

<file path=customXml/itemProps3.xml><?xml version="1.0" encoding="utf-8"?>
<ds:datastoreItem xmlns:ds="http://schemas.openxmlformats.org/officeDocument/2006/customXml" ds:itemID="{A0EF11BF-917E-42C7-BCCB-D35574163B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4</vt:i4>
      </vt:variant>
    </vt:vector>
  </HeadingPairs>
  <TitlesOfParts>
    <vt:vector size="7" baseType="lpstr">
      <vt:lpstr>Harmonogram</vt:lpstr>
      <vt:lpstr>Wprowadzanie danych</vt:lpstr>
      <vt:lpstr>Odnośnik nazwy</vt:lpstr>
      <vt:lpstr>Obszar_wydruku</vt:lpstr>
      <vt:lpstr>Pole_Kto</vt:lpstr>
      <vt:lpstr>Tydzień</vt:lpstr>
      <vt:lpstr>Wyświetlana_nazwa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2012-02-26T23:30:47Z</dcterms:created>
  <dcterms:modified xsi:type="dcterms:W3CDTF">2012-09-13T04:18:06Z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0x010100CFA5F52AA0A00C4CBEF2A37681B2318F04009FDCD24A096B5E4C8184D4910FEB1A76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</Properties>
</file>